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HERRAMIENTA STOCK IA\"/>
    </mc:Choice>
  </mc:AlternateContent>
  <xr:revisionPtr revIDLastSave="0" documentId="13_ncr:1_{2696BBB7-FAF8-4E15-9AD6-FA04BD282B3E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MEDICAMENTOS" sheetId="12" r:id="rId1"/>
    <sheet name="INSUMOS" sheetId="2" r:id="rId2"/>
    <sheet name="DENTAL" sheetId="11" r:id="rId3"/>
    <sheet name="CURACIONES" sheetId="9" r:id="rId4"/>
    <sheet name="PATERNIDAD" sheetId="13" r:id="rId5"/>
  </sheets>
  <definedNames>
    <definedName name="_xlnm._FilterDatabase" localSheetId="3" hidden="1">CURACIONES!$A$5:$G$25</definedName>
    <definedName name="_xlnm._FilterDatabase" localSheetId="2" hidden="1">DENTAL!$A$5:$G$111</definedName>
    <definedName name="_xlnm._FilterDatabase" localSheetId="1" hidden="1">INSUMOS!$A$5:$G$346</definedName>
    <definedName name="_xlnm._FilterDatabase" localSheetId="0" hidden="1">MEDICAMENTOS!$A$5:$G$291</definedName>
    <definedName name="_xlnm._FilterDatabase" localSheetId="4" hidden="1">PATERNIDAD!$A$5:$G$34</definedName>
    <definedName name="_xlnm.Print_Area" localSheetId="3">CURACIONES!$A$1:$G$24</definedName>
    <definedName name="_xlnm.Print_Area" localSheetId="2">DENTAL!$A$1:$G$111</definedName>
    <definedName name="_xlnm.Print_Area" localSheetId="1">INSUMOS!$A$1:$G$346</definedName>
    <definedName name="_xlnm.Print_Area" localSheetId="0">MEDICAMENTOS!$A$1:$G$291</definedName>
    <definedName name="_xlnm.Print_Area" localSheetId="4">PATERNIDAD!$A$1:$G$34</definedName>
    <definedName name="_xlnm.Print_Titles" localSheetId="3">CURACIONES!$5:$5</definedName>
    <definedName name="_xlnm.Print_Titles" localSheetId="2">DENTAL!$5:$5</definedName>
    <definedName name="_xlnm.Print_Titles" localSheetId="1">INSUMOS!$5:$5</definedName>
    <definedName name="_xlnm.Print_Titles" localSheetId="0">MEDICAMENTOS!$5:$5</definedName>
    <definedName name="_xlnm.Print_Titles" localSheetId="4">PATERNIDAD!$5:$5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9" i="13" l="1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7" i="13"/>
  <c r="E8" i="13"/>
  <c r="E6" i="13"/>
  <c r="E25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6" i="9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E97" i="11"/>
  <c r="E98" i="11"/>
  <c r="E99" i="11"/>
  <c r="E100" i="11"/>
  <c r="E101" i="11"/>
  <c r="E102" i="11"/>
  <c r="E103" i="11"/>
  <c r="E104" i="11"/>
  <c r="E105" i="11"/>
  <c r="E106" i="11"/>
  <c r="E107" i="11"/>
  <c r="E108" i="11"/>
  <c r="E109" i="11"/>
  <c r="E110" i="11"/>
  <c r="E111" i="11"/>
  <c r="E7" i="11"/>
  <c r="E6" i="11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6" i="2"/>
  <c r="E7" i="12"/>
  <c r="E6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3" i="12"/>
  <c r="E254" i="12"/>
  <c r="E255" i="12"/>
  <c r="E256" i="12"/>
  <c r="E257" i="12"/>
  <c r="E258" i="12"/>
  <c r="E259" i="12"/>
  <c r="E260" i="12"/>
  <c r="E261" i="12"/>
  <c r="E262" i="12"/>
  <c r="E263" i="12"/>
  <c r="E264" i="12"/>
  <c r="E265" i="12"/>
  <c r="E266" i="12"/>
  <c r="E267" i="12"/>
  <c r="E268" i="12"/>
  <c r="E269" i="12"/>
  <c r="E270" i="12"/>
  <c r="E271" i="12"/>
  <c r="E272" i="12"/>
  <c r="E273" i="12"/>
  <c r="E274" i="12"/>
  <c r="E275" i="12"/>
  <c r="E276" i="12"/>
  <c r="E277" i="12"/>
  <c r="E278" i="12"/>
  <c r="E279" i="12"/>
  <c r="E280" i="12"/>
  <c r="E281" i="12"/>
  <c r="E282" i="12"/>
  <c r="E283" i="12"/>
  <c r="E284" i="12"/>
  <c r="E285" i="12"/>
  <c r="E286" i="12"/>
  <c r="E287" i="12"/>
  <c r="E288" i="12"/>
  <c r="E289" i="12"/>
  <c r="E290" i="12"/>
  <c r="E291" i="12"/>
</calcChain>
</file>

<file path=xl/sharedStrings.xml><?xml version="1.0" encoding="utf-8"?>
<sst xmlns="http://schemas.openxmlformats.org/spreadsheetml/2006/main" count="1634" uniqueCount="795">
  <si>
    <t>Cesfam San Joaquin</t>
  </si>
  <si>
    <t xml:space="preserve">Pedidos a Bodega comunal </t>
  </si>
  <si>
    <t>Establecimiento:</t>
  </si>
  <si>
    <t>Cesfam Sor Teresa</t>
  </si>
  <si>
    <t>Fecha:</t>
  </si>
  <si>
    <t>Cesfam Arturo Baeza G.</t>
  </si>
  <si>
    <t>Cecof U.V. 14 R. Javier Perot</t>
  </si>
  <si>
    <t>TIPO</t>
  </si>
  <si>
    <t>PRODUCTO</t>
  </si>
  <si>
    <t>CONSUMO MENSUAL</t>
  </si>
  <si>
    <t>STOCK ACTUAL</t>
  </si>
  <si>
    <t>SOLICITUD TEORICA</t>
  </si>
  <si>
    <t>SOLICITUD REAL</t>
  </si>
  <si>
    <t>ENTREGA DE BODEGA</t>
  </si>
  <si>
    <t>Cecof U.V. 24  Sierra Bella</t>
  </si>
  <si>
    <t>MEDICAMENTO</t>
  </si>
  <si>
    <t>Acenocumarol 4 mg  COMPRIMIDOS</t>
  </si>
  <si>
    <t>Cecof Sec. 1 Coñimo</t>
  </si>
  <si>
    <t>UAPO</t>
  </si>
  <si>
    <t>Acetazolamida  250mg  COMPRIMIDOS</t>
  </si>
  <si>
    <t>Cecof Sec. 5 Salvador Allende</t>
  </si>
  <si>
    <t>Aciclovir Comprimidos 400 Mg   Comprimidos</t>
  </si>
  <si>
    <t>Cecof Martinez Henriquez</t>
  </si>
  <si>
    <t>Aciclovir Crema Dermica 5% (15 g)   Crema</t>
  </si>
  <si>
    <t>Cesam San Joaquin</t>
  </si>
  <si>
    <t>FOFAR</t>
  </si>
  <si>
    <t>Acido Acetilsalicilico   100 mg  COMPRIMIDOS</t>
  </si>
  <si>
    <t>S.A.P.U.  Sor teresa</t>
  </si>
  <si>
    <t>Acido Folico  1 mg  COMPRIMIDOS</t>
  </si>
  <si>
    <t>S.A.R.  San Joaquin</t>
  </si>
  <si>
    <t>Acido Folico 0,4 mg.  Comprimidos</t>
  </si>
  <si>
    <t>Acido Folico 5 mg Comprimidos   Comprimidos</t>
  </si>
  <si>
    <t>INYECTABLE</t>
  </si>
  <si>
    <t>ACIDO TRANEXAMICO  1G/10ML  AMPOLLAS</t>
  </si>
  <si>
    <t>CESAM</t>
  </si>
  <si>
    <t>Acido Valproico  500 mg   COMPRIMIDOS</t>
  </si>
  <si>
    <t>Prog. Ministerial</t>
  </si>
  <si>
    <t>Acido Valproico 250 mg/5ml Jbe.</t>
  </si>
  <si>
    <t>Acido Valproico Comprimidos Recubiertos 200 Mg</t>
  </si>
  <si>
    <t>Acido Valp. Gotas Orales 300 mg/ ml fco. 25 ml (Atemperator)</t>
  </si>
  <si>
    <t>Acido Valp. Liberación Prolongada 500 mg  Cm.</t>
  </si>
  <si>
    <t>TELEDERMATOLOGIA</t>
  </si>
  <si>
    <t>Adapaleno  0,1 %  Gel Topico  30g.  ud</t>
  </si>
  <si>
    <t>Adapaleno  0,3 %  Gel Topico  30g.  ud</t>
  </si>
  <si>
    <t>Adenosina ampollas 6mg/2 ml</t>
  </si>
  <si>
    <t>INSUMO</t>
  </si>
  <si>
    <t>Agua Esteril para Inyectables 10ml  AMPOLLAS</t>
  </si>
  <si>
    <t>Agua Esteril para Inyectables 20ml Ampolla</t>
  </si>
  <si>
    <t>Alopurinol 100 mg Cm.   Comprimidos</t>
  </si>
  <si>
    <t>Aluminio Hidróxido 6% gel   FRASCOS</t>
  </si>
  <si>
    <t>Amikacina 500mg/2ml  AMPOLLAS</t>
  </si>
  <si>
    <t>AMINOFILINA 250MG/10ML   FRASCOS</t>
  </si>
  <si>
    <t>Amiodarona Clorhidrato Solucion Inyectable 150 Mg/ 3 Ml Amp.</t>
  </si>
  <si>
    <t>Amitriptilina Clorhidrato 25 mg  Cm.</t>
  </si>
  <si>
    <t>Amlodipino  10 mg  COMPRIMIDOS</t>
  </si>
  <si>
    <t>Amlodipino 5 mg   COMPRIMIDOS</t>
  </si>
  <si>
    <t>Amoxicilina  500 mg  CAPSULAS</t>
  </si>
  <si>
    <t>Amoxicilina Con Acido Clavulanico  500 / 125mg  Cm.</t>
  </si>
  <si>
    <t>Amoxicilina Con Acido Clavulanico 400 mg./57 mg. Jbe. 5 ml.Frco.</t>
  </si>
  <si>
    <t>Amoxicilina Polvo P/Susp.Oral  500 mg/5 ml (60 ml)  JARABE</t>
  </si>
  <si>
    <t>Anfebutamona 150 mg LIB Prolongada 150 mg   COMPRIMIDOS</t>
  </si>
  <si>
    <t xml:space="preserve">Antiespasmodico Adulto Sup. (Abalgin sup. Adu.))  </t>
  </si>
  <si>
    <t>Aripiprazol  10 mg  COMPRIMIDOS</t>
  </si>
  <si>
    <t>Atenolol  50 mg  COMPRIMIDOS</t>
  </si>
  <si>
    <t>Atorvastatina  20 mg  COMPRIMIDOS</t>
  </si>
  <si>
    <t>Atorvastatina 10 mg  Cm</t>
  </si>
  <si>
    <t>Atropina Sulfato Solucion Inyectable 1 Mg/Ml (amp)</t>
  </si>
  <si>
    <t>Azitromicina 400 mg / 5 Ml Fco.</t>
  </si>
  <si>
    <t>Azitromicina 500 mg   COMPRIMIDOS</t>
  </si>
  <si>
    <t>Betametasona  0,1 % Sol. Oft. Gotas Esteril  10 ml  Fco</t>
  </si>
  <si>
    <t>Betametasona Crema Dérmica  0,05% (15 gr)  CREMA</t>
  </si>
  <si>
    <t>Betametasona Solucion Inyectable 4 Mg/Ml (amp)</t>
  </si>
  <si>
    <t>Betaxolol 0,5 % Sol. Oft. 5 ml ud.   Unidad</t>
  </si>
  <si>
    <t>BICARBONATO DE SODIO 8.4% 10ML  AMPOLLAS</t>
  </si>
  <si>
    <t>Brimonidina 0.2% 5ml  FRASCOS</t>
  </si>
  <si>
    <t>Brinzolamida / Tartrato de Brimonidina  10mg. 2mgml (5ml)  ud.</t>
  </si>
  <si>
    <t>Brinzolamida 1 %   5 ml   FRASCOS</t>
  </si>
  <si>
    <t>Bromuro de Ipratr. 0,25 mg + Fenoterol 0,5 mg sol. inhalación   Fco</t>
  </si>
  <si>
    <t>Bromuro De Ipratr. Aerosol Para Inhalacion 20 Mcg/Dosis (200 dos)</t>
  </si>
  <si>
    <t>Budesonida Adultos Aerosol  Inhalacion 200 Mcg/Dosis (200 dos)</t>
  </si>
  <si>
    <t>Captopril Comprimidos 25 Mg   Comprimidos</t>
  </si>
  <si>
    <t>Carbamazepina  200 mg  Cm.</t>
  </si>
  <si>
    <t>Carbamazepina Liberación Prolongada 400 mg  Cm.</t>
  </si>
  <si>
    <t>Carbomer 0,04 mg (Lacryvisc) 10 gr  GEL</t>
  </si>
  <si>
    <t>Carbonato De Litio Comprimidos 300 Mg</t>
  </si>
  <si>
    <t>Carvedilol  12,5 mg   COMPRIMIDOS</t>
  </si>
  <si>
    <t>Carvedilol  25mg   COMPRIMIDOS</t>
  </si>
  <si>
    <t>Carvedilol 6,25 mg Comprimidos</t>
  </si>
  <si>
    <t>Cefadroxilo 500 mg Capsulas</t>
  </si>
  <si>
    <t>Cefadroxilo Polvo Para Susp. Oral 250 Mg/5 Ml (60 ml)Fco.</t>
  </si>
  <si>
    <t>Ceftriaxona 1 gr  FRASCOS</t>
  </si>
  <si>
    <t>Celecoxib Capsulas 200 Mg</t>
  </si>
  <si>
    <t>Cetirizina 5 mg/5ml (60ml) JARABE Fco.</t>
  </si>
  <si>
    <t>Cianocobalamina 1000 mcg/ml ampollas</t>
  </si>
  <si>
    <t>Ciclobenzaprina Clorhidrato 10 Mg Cm. Recubiertos</t>
  </si>
  <si>
    <t>Ciclopentolato Clorhidrato  1% 15ml  GOTAS</t>
  </si>
  <si>
    <t>Ciclopiroxolamina 1% Crema Dermica  30g ud</t>
  </si>
  <si>
    <t>Ciprofloxacino Comprimidos Recubiertos 500 Mg   Cm.</t>
  </si>
  <si>
    <t>Citalopram Comprimidos Recubiertos 20 Mg</t>
  </si>
  <si>
    <t>Claritromicina Comprimidos Recubiertos 500 Mg   Cm.</t>
  </si>
  <si>
    <t>Claritromicina Polvo Gran. Para Susp. Oral 250 Mg/5 Ml (80 ml)Fco.</t>
  </si>
  <si>
    <t>Clindamicina 300 mg   COMPRIMIDOS</t>
  </si>
  <si>
    <t>Clobetasol Propionato 0,05% 25g Crema Topica Ud.</t>
  </si>
  <si>
    <t>Clofazimina  100 mg  CAPSULAS</t>
  </si>
  <si>
    <t>CLOMIPRAMINA 75 MG Cm.</t>
  </si>
  <si>
    <t>Clopidogrel 75 mg comprimidos   Comprimidos</t>
  </si>
  <si>
    <t>Cloranfenicol Solución Oftálmica  10 ml  FRASCOS</t>
  </si>
  <si>
    <t>Cloranfenicol Unguento Oftalmico 1% (3,5 gr)  POMO</t>
  </si>
  <si>
    <t>Clorfenamina Maleato Comprimidos Recubiertos 4 Mg   Cm.</t>
  </si>
  <si>
    <t>Clorfenamina Maleato Solucion Inyectable 10 Mg/Ml ( amp)</t>
  </si>
  <si>
    <t>Clorpromazina Clorhidrato Comprimidos 100 Mg   Comprimidos</t>
  </si>
  <si>
    <t>Clorpromazina Clorhidrato Solucion Inyectable 25 Mg/2 Ml (amp)</t>
  </si>
  <si>
    <t>Clotrimazol 500 Mg    OVULOS</t>
  </si>
  <si>
    <t>Clotrimazol Crema Topica 1%   Comprimidos</t>
  </si>
  <si>
    <t>Cloxacilina Comprimidos Recubiertos 500 Mg   Comprimidos</t>
  </si>
  <si>
    <t>Clozapina  100 mg  COMPRIMIDOS</t>
  </si>
  <si>
    <t>Cotrimoxazol 240mg / 5 ml Suspension Oral (50 ml)   Frasco</t>
  </si>
  <si>
    <t>Cotrimoxazol Comprimidos Forte 800 +160 mg.   Comprimidos</t>
  </si>
  <si>
    <t>Crema Corporal Humectante Con UREA 10% 400ml fco.</t>
  </si>
  <si>
    <t>Cycloserine   250 mg.  Capsulas</t>
  </si>
  <si>
    <t>Desloratadina (Ira-Era) 5 mg  COMPRIMIDOS</t>
  </si>
  <si>
    <t>Desloratadina 2,5mg / 5ml  Jbe</t>
  </si>
  <si>
    <t>Dexametasona Solución Inyectable 4 mg/mL   AMPOLLAS</t>
  </si>
  <si>
    <t>Diclofenaco Sodico  50 mg  COMPRIMIDOS</t>
  </si>
  <si>
    <t>Diclofenaco Sodico Solucion Inyectable 75 Mg/3 Ml (amp)</t>
  </si>
  <si>
    <t>Diclofenaco Sodico Supositorios Infantil 12,5 Mg   Sup.</t>
  </si>
  <si>
    <t>Digoxina  0,25 mg  COMPRIMIDOS</t>
  </si>
  <si>
    <t>Disulfiramo Comprimidos 500 Mg   Comprimidos</t>
  </si>
  <si>
    <t>Domperidona 1 mg / ml. Gotas   Frasco</t>
  </si>
  <si>
    <t>Domperidona 10 mg Cm.   Comprimidos</t>
  </si>
  <si>
    <t>Donepezilo 10 mg. Recubierto Cm.</t>
  </si>
  <si>
    <t>Dopamina Clorhidrato 200mg/5ml  AMPOLLAS</t>
  </si>
  <si>
    <t>Dorzolamida 20 mg. + Timolol 5 mg.    FRASCOS</t>
  </si>
  <si>
    <t>Dorzolamida 20 MG. 2 % Sol. Oft. Esteril 5 ml ud.</t>
  </si>
  <si>
    <t>Doxiciclina 100 mg.    CAPSULAS</t>
  </si>
  <si>
    <t>Duloxetina  con Granulos Con Recub. Enterico 30 Mg.   Cap.</t>
  </si>
  <si>
    <t>Dutasterida / Tamsulosina Clorhidrato 0,5 mg/0,4 mg Cap.   Cap.</t>
  </si>
  <si>
    <t>Enalapril Maleato Comprimidos Recubiertos  10 mg  Cm.</t>
  </si>
  <si>
    <t>Enema fosfato adulto   FRASCOS</t>
  </si>
  <si>
    <t>Epinefrina Solucion Inyectable 1 Mg/1 Ml (amp)</t>
  </si>
  <si>
    <t>Eritromicina Comprimidos Recubiertos 500 Mg   Cm.</t>
  </si>
  <si>
    <t>Eritromicina Polvo P/ Suspension Oral 200 Mg/5 Ml   Frasco</t>
  </si>
  <si>
    <t>Espironolactona Comprimidos 25 Mg</t>
  </si>
  <si>
    <t>Estreptomicina F. A. 1 G Amp.   Ampollas</t>
  </si>
  <si>
    <t>Eszopiclona Comprimidos Recubiertos 3 mg  COMPRIMIDOS</t>
  </si>
  <si>
    <t>Etambutol  400 mg  COMPRIMIDOS</t>
  </si>
  <si>
    <t>Etambutol 200 mg Cm.</t>
  </si>
  <si>
    <t>Famotidina  40 mg  COMPRIMIDOS</t>
  </si>
  <si>
    <t>Famotidina Solucion Inyectable 20 mg/2ml Ampolla</t>
  </si>
  <si>
    <t>Fase 1.Diaria Rifamp. 150/Pirazina. 400/Isoniaz. 75/Etamb. 275 Cm</t>
  </si>
  <si>
    <t>Fase 2.Trisemanal Rifampicina 150/Isoniazida 150 Cm</t>
  </si>
  <si>
    <t>Fase 2.Trisemanal Rifampicina 150/Isoniazida 75 Cm</t>
  </si>
  <si>
    <t>Fenilefrina 2,5%  Solución Oftalmica Estéril 5ml Fco. Ud.</t>
  </si>
  <si>
    <t>Fenitoina Sodica  100 mg  COMPRIMIDOS</t>
  </si>
  <si>
    <t>Flucloxacilina  500 mg  CAPSULAS</t>
  </si>
  <si>
    <t>Flucloxacilina Polvo Para Jarabe 250 mg/5ml (60ml)  FRASCOS</t>
  </si>
  <si>
    <t>Fluconazol 150 mgs. Caps.</t>
  </si>
  <si>
    <t>Flufenazina Decanoato 250 Mg/10 Ml Solucion Inyectable (modecate)</t>
  </si>
  <si>
    <t>Flujometro Con Regulador  Ud.</t>
  </si>
  <si>
    <t>Flumazenil 0,5 mg/ 5ml Sol. Inyectable Via Intravenosa Amp.</t>
  </si>
  <si>
    <t>Fluoxetina Clorhidrato 20 Mg  Comprimidos</t>
  </si>
  <si>
    <t>Fluticasona 125 mcg Do Inhalador</t>
  </si>
  <si>
    <t>Fluticasona/Salmeterol 125 mcg/25 ug Do Inhalador</t>
  </si>
  <si>
    <t>Fluticasona/Salmeterol 250 mcg/25 ug Do Inhalador</t>
  </si>
  <si>
    <t>Fumarato Ferroso 330 mg Cap. Con Granulos Con Hierro De Liber. Prolon. (Folifer)</t>
  </si>
  <si>
    <t>Furosemida  40 mg  COMPRIMIDOS</t>
  </si>
  <si>
    <t>Furosemida Solucion Inyectable 20 Mg/1 Ml (amp)</t>
  </si>
  <si>
    <t>Gemfibrozilo Comprimidos Recubiertos 600 Mg   Comprimidos</t>
  </si>
  <si>
    <t>Gentamicina Solucion Inyectable 80 Mg/2 Ml (amp)</t>
  </si>
  <si>
    <t>Gentamicina Solucion Oftalmica  0,3% (5 ml)  FRASCOS</t>
  </si>
  <si>
    <t>Gentamicina Unguento Oftálmico 0,3%  POMO</t>
  </si>
  <si>
    <t>Glibenclamida  5 mg  COMPRIMIDOS</t>
  </si>
  <si>
    <t>Glicerina 3g adulto   SUPOSITORIOS</t>
  </si>
  <si>
    <t>GLUCONATO DE CALCIO 10% 10ML  AMPOLLAS</t>
  </si>
  <si>
    <t>Haloperidol 1 Mg Comprimidos</t>
  </si>
  <si>
    <t>Haloperidol 5 Mg / 1 ml amp.</t>
  </si>
  <si>
    <t>Haloperidol BE 5 mg  COMPRIMIDOS</t>
  </si>
  <si>
    <t>Hidralazina 50 mg   COMPRIMIDOS</t>
  </si>
  <si>
    <t>Hidroclorotiazida Comprimidos 50 Mg</t>
  </si>
  <si>
    <t>Hidrocortisona 1 %    CREMA</t>
  </si>
  <si>
    <t>Hidrocortisona Polvo Para Solucion Inyectable 100 Mg  Amp.</t>
  </si>
  <si>
    <t>Hidrocortisona Polvo Para Solucion Inyectable 500 Mg  Amp.</t>
  </si>
  <si>
    <t>Hidroxizina 10mg/5ml. Jarabe 120 ml. Fco.</t>
  </si>
  <si>
    <t>Hidroxizina 20 mg.  Cm.</t>
  </si>
  <si>
    <t>Hipoclorito de Sodio 4% o 5% Lts.   Litro</t>
  </si>
  <si>
    <t>Ibuprofeno  200 mg/5 ml (100ml)  JARABE</t>
  </si>
  <si>
    <t>Ibuprofeno Comprimidos Recubiertos  400 mg  COMPRIMIDOS</t>
  </si>
  <si>
    <t>Imipramina Clorhidrato Comprimidos 25 Mg   Comprimidos</t>
  </si>
  <si>
    <t>Insulina Cristalina 100 U.I./mL F.A. 10 mL</t>
  </si>
  <si>
    <t>Insulina Humana NPH Inyectable 100 U.I./mL F.A 10 mL</t>
  </si>
  <si>
    <t>Isoniazida  200 mg/5 ml  Suspension oral  120 ml  Fco</t>
  </si>
  <si>
    <t>Isoniazida cm 100 mg</t>
  </si>
  <si>
    <t>Isoniazida cm 300 mg   Cm.</t>
  </si>
  <si>
    <t>Isoniazida cm 300 mg Cm. + Rifapentine 300 mg Cm Recub.</t>
  </si>
  <si>
    <t>Isosorbide Dinitrato   10 mg  COMPRIMIDOS</t>
  </si>
  <si>
    <t>Ketoconazol  2% Shampoo  100ml Fco.</t>
  </si>
  <si>
    <t>KETOPROFENO 100MG/2ML  IV   AMPOLLAS</t>
  </si>
  <si>
    <t>Ketorolaco 30 mg sublingual   COMPRIMIDOS</t>
  </si>
  <si>
    <t>Ketorolaco Trometamol  30 mg/ 1 ml Amp.</t>
  </si>
  <si>
    <t>Lactulosa 65% o 66,7% sol. oral 200 mL   FRASCOS</t>
  </si>
  <si>
    <t>Lagrima artificial    FRASCOS</t>
  </si>
  <si>
    <t>Lamotrigina  100 mg  COMPRIMIDOS</t>
  </si>
  <si>
    <t>Lamotrigina  50 mg  COMPRIMIDOS</t>
  </si>
  <si>
    <t>Lamotrigina Cm 50 Mg (S. S. M. S.)</t>
  </si>
  <si>
    <t>Lanatosido C 0,4 Mg/2Ml Ampolla</t>
  </si>
  <si>
    <t>Latanoprost monodosis 0.2ml 50mcg/ml   AMPOLLAS</t>
  </si>
  <si>
    <t>Levetiracetam  1000 mg  COMPRIMIDOS</t>
  </si>
  <si>
    <t>Levetiracetam  500 mg  COMPRIMIDOS</t>
  </si>
  <si>
    <t>Levetiracetam 100 mg/ml SOL. ORAL</t>
  </si>
  <si>
    <t>Levodopa / Carbidopa  250 / 25 mg  COMPRIMIDOS</t>
  </si>
  <si>
    <t>Levodopa/Benserazida  200/ 50 mg  COMPRIMIDOS</t>
  </si>
  <si>
    <t>Levodropropizina  60mg/10 ml  Jarabe  120ml</t>
  </si>
  <si>
    <t>Levotiroxina  100 mcg  COMPRIMIDOS</t>
  </si>
  <si>
    <t>Levotiroxina  50 mcg  COMPRIMIDOS</t>
  </si>
  <si>
    <t>Lidocaina Clorhidrato 2% Solucion Inyectable Amp. De 5 Ml</t>
  </si>
  <si>
    <t>Loratadina  5mg / 5ml  Jbe x 60ml</t>
  </si>
  <si>
    <t>Loratadina 10 mg  COMPRIMIDOS</t>
  </si>
  <si>
    <t xml:space="preserve">Losartan Potasico Comprimidos Recubiertos  50 mg </t>
  </si>
  <si>
    <t>Mebendazol Comprimidos 100 Mg   Cm.</t>
  </si>
  <si>
    <t>Mebendazol Suspension 100 Mg/5 Ml (30 ml)   Frasco</t>
  </si>
  <si>
    <t>Memantina  10 mg.  Cm.   COMPRIMIDOS</t>
  </si>
  <si>
    <t>Metamizol 300 mg   COMPRIMIDOS</t>
  </si>
  <si>
    <t>Metamizol Sodico (Dipirona) Solucion Inyectable 1 gr/2 ml  Amp.</t>
  </si>
  <si>
    <t>Metamizol sup. 250 mg   SUPOSITORIOS</t>
  </si>
  <si>
    <t>Metformina 1000 mg XR  COMPRIMIDOS</t>
  </si>
  <si>
    <t>Metformina Comprimido Recubierto 850 mg  Cm.</t>
  </si>
  <si>
    <t>Metildopa  250 mg  COMPRIMIDOS</t>
  </si>
  <si>
    <t>Metoclopramida Clorhidrato 10 mg   COMPRIMIDOS</t>
  </si>
  <si>
    <t>Metoclopramida Clorhidrato Solucion Inyectable 10 Mg/2 Ml (amp)</t>
  </si>
  <si>
    <t>Metronidazol 125 mg/5ml  120ml Susp. Oral  Jbe</t>
  </si>
  <si>
    <t>Metronidazol 500 mg Ovulos  ud.   OVULOS</t>
  </si>
  <si>
    <t>Metronidazol Comprimidos Recubiertos 500 Mg   Cm.</t>
  </si>
  <si>
    <t>Metronidazol Gel 0,75 %    GEL</t>
  </si>
  <si>
    <t>Miconazol 2% gel 40 g   POMO</t>
  </si>
  <si>
    <t>Midazolam Solucion Inyectable 5 Mg/1 Ml (amp)   Ampollas</t>
  </si>
  <si>
    <t>Mirtazapina  30 mg  COMPRIMIDOS</t>
  </si>
  <si>
    <t>Mometasona  Furoato 0,1% 15g  ud.  CREMA</t>
  </si>
  <si>
    <t>N-Acetilcisteína jbe 100mg/5mL   FRASCOS</t>
  </si>
  <si>
    <t>Nirmatrelvir/Ritonavir 150/100 mg   COMPRIMIDOS</t>
  </si>
  <si>
    <t>Nistatina 100.000  UI/ml Susp. Oral para Gotas Fco 20 a 30 Ml</t>
  </si>
  <si>
    <t>Nistatina 100.000 UI   OVULOS</t>
  </si>
  <si>
    <t>Nitrofurantoina Macrocristales 100 mg  CAPSULAS</t>
  </si>
  <si>
    <t>Nitrofurantoina Suspension Oral 25Mg/5 Ml (60 ml)   Frasco</t>
  </si>
  <si>
    <t>Olanzapina Comprimidos Recubiertos 10 Mg</t>
  </si>
  <si>
    <t>Omeprazol  20 mg  CAPSULAS</t>
  </si>
  <si>
    <t>Omeprazol Liofilizado para Sol. Inyectable 40 mg.  Amp.</t>
  </si>
  <si>
    <t>Ondansetron  4mg / 2ml Sol. Iny. Amp.</t>
  </si>
  <si>
    <t>Papaverina/ Atropina (Dolospam)  40 mg/ 0,5 mg  COMPRIMIDOS</t>
  </si>
  <si>
    <t>Paracetamol   500 mg  COMPRIMIDOS</t>
  </si>
  <si>
    <t>Paracetamol  Sup. 125 mg  SUPOSITORIOS</t>
  </si>
  <si>
    <t>Paracetamol Infantil Comprimidos Masticables 80 Mg</t>
  </si>
  <si>
    <t>Paracetamol Sol.Para Gotas Orales 100 Mg/Ml (15 ml)   Frasco</t>
  </si>
  <si>
    <t>Pargeverina 5mg / 2ml Amp.</t>
  </si>
  <si>
    <t xml:space="preserve">Paroxetina 20 Mg Comprimidos Recubiertos  </t>
  </si>
  <si>
    <t>Penicilina G (Como Benzatina)Polvo Susp. Inyect. 1,200,000 U.I. ud.</t>
  </si>
  <si>
    <t>PILOCARPINA 4%   GOTAS</t>
  </si>
  <si>
    <t>Pirazinamida Cm 500 Mg</t>
  </si>
  <si>
    <t>Piridoxina  50 mg. Cm.</t>
  </si>
  <si>
    <t>PIRIDOXINA 10MG  COMPRIMIDOS</t>
  </si>
  <si>
    <t>Pramipexol   0,25 mg  COMPRIMIDOS</t>
  </si>
  <si>
    <t>Pramipexol  1 mg  COMPRIMIDOS</t>
  </si>
  <si>
    <t>Prednisona  20 mg  COMPRIMIDOS</t>
  </si>
  <si>
    <t>Prednisona  5  Mg.  Cm.   COMPRIMIDOS</t>
  </si>
  <si>
    <t>Prednisona Jarabe 20 mg/5 ml  FRASCOS</t>
  </si>
  <si>
    <t>Pregabalina 75 mg. Cm.   Comprimidos</t>
  </si>
  <si>
    <t>Primidona 250 Mg Comprimidos   Comprimidos</t>
  </si>
  <si>
    <t>Propranolol  40 mg  COMPRIMIDOS</t>
  </si>
  <si>
    <t>Propranolol Clorhidrato 1Mg/1Ml inyectable Amp. 1 ml</t>
  </si>
  <si>
    <t>Quetiapina  100 mg  COMPRIMIDOS</t>
  </si>
  <si>
    <t>Quetiapina  25 mg  COMPRIMIDOS</t>
  </si>
  <si>
    <t>Quetiapina 25 mg. Cm. (entrega S.S.M.S.)</t>
  </si>
  <si>
    <t>Ranitidina Solucion Inyectable 50 Mg/2 Ml</t>
  </si>
  <si>
    <t>Rifampicina Cp 150 Mg</t>
  </si>
  <si>
    <t>Rifapentine 150 mg. Cm.</t>
  </si>
  <si>
    <t>Risperidona Comprimidos Recubiertos 1 Mg</t>
  </si>
  <si>
    <t>Risperidona Comprimidos Recubiertos 3 Mg</t>
  </si>
  <si>
    <t>Risperidona Solucion Oral Gotas 1mg/ml (30 ml) (22gotas/ml)</t>
  </si>
  <si>
    <t>Salbutamol  100 ug/dosis  INHALADORES</t>
  </si>
  <si>
    <t>Sales Para Rehidratacion Oral-60 Polvo Para Solucion (sac)   Sobre</t>
  </si>
  <si>
    <t>Sales Para Rehidratacion Oral-90 Polvo Para Solucion (sac)   Sobre</t>
  </si>
  <si>
    <t>Salmeterol 25 Ug/Do Inhalador Presurizado Fc 120 Do</t>
  </si>
  <si>
    <t>Sertralina  50 mg   COMPRIMIDOS</t>
  </si>
  <si>
    <t>Sulfato de Magnesio  25% (5 ml)   AMPOLLAS</t>
  </si>
  <si>
    <t>Sulfato Ferroso  200 mg  COMPRIMIDOS</t>
  </si>
  <si>
    <t>Sulfato Ferroso Soluc. Para Gotas Orales 125 Mg/Ml (10 ml)   Fco.</t>
  </si>
  <si>
    <t>Suxametonio CI 100 mg/5 ml Amp.</t>
  </si>
  <si>
    <t>Terbinafina   Clorhidrato Sol. Topica 1%  15ml</t>
  </si>
  <si>
    <t>Terbinafina  250 mg  COMPRIMIDOS</t>
  </si>
  <si>
    <t>Tetraciclina Clorhidrato Capsulas 250 Mg   Comprimidos</t>
  </si>
  <si>
    <t>Timolol 0,5 %    10 ml.  FRASCOS</t>
  </si>
  <si>
    <t>Tioridazina Clorhidrato Grageas 100 Mg Cm.   Comprimidos</t>
  </si>
  <si>
    <t>Tobramicina 0.3% / Dexametasona 0.1% 0.3% 5ml  GOTAS</t>
  </si>
  <si>
    <t>Tramadol Clorhidrato 100 mg/2 mL sol. iny.   AMPOLLAS</t>
  </si>
  <si>
    <t>Tramadol Clorhidrato Cm 50 Mg</t>
  </si>
  <si>
    <t>Tramadol Clorhidrato Fc 100 Mg/Ml Solucion En Gotas 10 Ml</t>
  </si>
  <si>
    <t>Travoprost 0,004% + Timolol 0,5 mg. Fco (Duotrav)   FRASCOS</t>
  </si>
  <si>
    <t>Trazodona Clorhidrato 100 mg  CAPSULAS</t>
  </si>
  <si>
    <t>Trazodona Clorhidrato 100 mg COMPRIMIDOS</t>
  </si>
  <si>
    <t>Trihexifenidilo Clorhidrato (Tonaril) 2 mg  COMPRIMIDOS</t>
  </si>
  <si>
    <t>Tropicamida  1 % Solucion Oftalmica Esteril  15 ml. Fco Ud.</t>
  </si>
  <si>
    <t>Vaselina esteril ampollas 10 ml ud.</t>
  </si>
  <si>
    <t>Venlafaxina 37.5 mg Liberación Prolongada  CAPSULAS</t>
  </si>
  <si>
    <t>Venlafaxina 75 mg XR  COMPRIMIDOS</t>
  </si>
  <si>
    <t>Verapamilo 5 mg/ml. Amp</t>
  </si>
  <si>
    <t>Vildagliptina  50  mg.  Cm.</t>
  </si>
  <si>
    <t>Vitaminas ACD gotas fco 30 ml   Frasco</t>
  </si>
  <si>
    <t>Vitaminas B1, B6, B12 10.000 Solucion Inyectable (amp)</t>
  </si>
  <si>
    <t>Zinc sol. oral gotas 5mg/mL   FRASCOS</t>
  </si>
  <si>
    <t>Ziprasidona  80mg  CAPSULAS</t>
  </si>
  <si>
    <t>Zopiclona Comprimidos Recubiertos 7,5 Mg</t>
  </si>
  <si>
    <t>Aerocamara Adulto ud.</t>
  </si>
  <si>
    <t>Cecof U.V. 29  Yalta</t>
  </si>
  <si>
    <t>Aerocamara Infantil ud.</t>
  </si>
  <si>
    <t>Aerocamara Neonatal ud.</t>
  </si>
  <si>
    <t>Agua Bidestilada 500 ml Matraz ud.</t>
  </si>
  <si>
    <t>Esterilización</t>
  </si>
  <si>
    <t>Agua Bidestilada para Esterilización, Medico,Odont.  Lts.</t>
  </si>
  <si>
    <t>Agua Oxigenada 10 vol  110 ml</t>
  </si>
  <si>
    <t>Agua Oxigenada 10 Volumenes Solucion Topica (1000 ml)</t>
  </si>
  <si>
    <t>Agua Oxigenada 10 Volumenes Solucion Topica (500 ml)</t>
  </si>
  <si>
    <t>Aguja Hipodérmica 19G x 1 1/2 ud.</t>
  </si>
  <si>
    <t>Aguja Hipodérmica 21G x 1 1/2 ud.</t>
  </si>
  <si>
    <t>Aguja Hipodérmica 21G x 1 ud.</t>
  </si>
  <si>
    <t>Aguja Hipodermica 22G x 1  Ud.</t>
  </si>
  <si>
    <t>Aguja Hipodérmica 23 G x 1 1/2 ud.</t>
  </si>
  <si>
    <t>Aguja Hipodérmica 23G x 1 ud.</t>
  </si>
  <si>
    <t>Aguja Hipodérmica 25G x 5/8 ud.</t>
  </si>
  <si>
    <t>Aguja Multiple 21G x 1 1/2 Vacuete Ud.</t>
  </si>
  <si>
    <t>Alcohol  70º (250ml)  FRASCOS</t>
  </si>
  <si>
    <t>Alcohol 70º 1 Litro</t>
  </si>
  <si>
    <t>Alcohol Gel  70% 1 litro</t>
  </si>
  <si>
    <t>Alcohol Gel 70%  340 ml  FRASCOS</t>
  </si>
  <si>
    <t>ALCOHOL ISOPROPILICO 70° SPRAY 290ML  FRASCOS</t>
  </si>
  <si>
    <t>Algodón Kilo</t>
  </si>
  <si>
    <t>OTRO</t>
  </si>
  <si>
    <t>Ambu Resucitador Adulto   Ud.</t>
  </si>
  <si>
    <t>Ambu Resucitador Pediatrico Ud.</t>
  </si>
  <si>
    <t>Antiparras ud.</t>
  </si>
  <si>
    <t>Aparato de Toma de Presión Ud. (con VB QF comunal)</t>
  </si>
  <si>
    <t>Aplicador con algodón ud.</t>
  </si>
  <si>
    <t>Aposito  de Gasa + Algodon  7 x 20 CM  ud.</t>
  </si>
  <si>
    <t>Aposito estéril 10 x 10 ud.</t>
  </si>
  <si>
    <t>Aposito estéril 10 x 20 ud.</t>
  </si>
  <si>
    <t>Apósito estéril 10 x 25 ud.</t>
  </si>
  <si>
    <t>Aposito Transparente 10 cm x 12 cm ( Tegaderm )  Ud.</t>
  </si>
  <si>
    <t>Aposito Transparente 6 cm x 7 cm ( Tegaderm ) Ud.</t>
  </si>
  <si>
    <t>Apósito Transparente IV Adulto 7x9cm   PARCHES</t>
  </si>
  <si>
    <t>Apósito Transparente IV Infantil 5x5,7cm   PARCHES</t>
  </si>
  <si>
    <t>Bajada de suero 120 cms Adulto ud.</t>
  </si>
  <si>
    <t>Bajalengua madera ud.</t>
  </si>
  <si>
    <t>Bisturí Nº 10 ud.</t>
  </si>
  <si>
    <t>Bisturí Nº 11 ud.</t>
  </si>
  <si>
    <t>Bisturí Nº 15 ud.</t>
  </si>
  <si>
    <t>Bisturí Nº 20 ud.</t>
  </si>
  <si>
    <t>Bisturí Nº 23 ud.</t>
  </si>
  <si>
    <t>Bolsa ostomia 19/64 recortable +10 pinzas  10 Ud.</t>
  </si>
  <si>
    <t>Bolsa Plástica para examen de PAP 10 x 6 ud.</t>
  </si>
  <si>
    <t>Bolsas Mortuorio (Difuntos) Ud.</t>
  </si>
  <si>
    <t>Boquillas Espirómetro 30 mm cartón ud.</t>
  </si>
  <si>
    <t>Branula 14G x 2 ud.</t>
  </si>
  <si>
    <t>Branula 16G x 1 1/4 ud.</t>
  </si>
  <si>
    <t>Branula 18G x 1 1/4 ud.</t>
  </si>
  <si>
    <t>Branula 20G x 1 1/4 ud.</t>
  </si>
  <si>
    <t>Branula 22G x 1 ud.</t>
  </si>
  <si>
    <t>Branula 24G ud.</t>
  </si>
  <si>
    <t>Campaña Vacunación</t>
  </si>
  <si>
    <t>Caja cortopunzante    UNIDAD</t>
  </si>
  <si>
    <t>Canula Mayo 0   UNIDAD</t>
  </si>
  <si>
    <t>Canula Mayo 00   UNIDAD</t>
  </si>
  <si>
    <t>Canula Mayo 1   UNIDAD</t>
  </si>
  <si>
    <t>Canulas Mayo N° 2 ud.</t>
  </si>
  <si>
    <t>Canulas Mayo N° 3 ud.</t>
  </si>
  <si>
    <t>Canulas Mayo N° 4 ud.</t>
  </si>
  <si>
    <t>Canulas Mayo N° 5 ud.</t>
  </si>
  <si>
    <t>Carbón activado 30 gr ud.</t>
  </si>
  <si>
    <t>Catgut Simple Sutura Absorbible + Aguja estéril Nº 3/0 ud.</t>
  </si>
  <si>
    <t>Catgut Simple Sutura Absorbible + Aguja estéril Nº 4/0 ud.</t>
  </si>
  <si>
    <t>cinta cetonemia  ud.   UNIDAD</t>
  </si>
  <si>
    <t>Cinta de Fluoresceina   ud.</t>
  </si>
  <si>
    <t>Cintas de colesterol Pack.  (Cajas x 25 ud. (Cinta+Pipeta+Lanceta))</t>
  </si>
  <si>
    <t>Cintas de glicemia Pack. ENVIO SSMS</t>
  </si>
  <si>
    <t>Citospray 100 ml ud.</t>
  </si>
  <si>
    <t>Clorhexidina jabón 2% 1000 ml ud.</t>
  </si>
  <si>
    <t>Clorhexidina jabón 2% 340 ml ud.</t>
  </si>
  <si>
    <t>Clorhexidina Solucion Topica  2% , 1000 ml lts</t>
  </si>
  <si>
    <t>Clorhexidina solución tópica 2% (50 o 125 ml) Fco.</t>
  </si>
  <si>
    <t>Cloruro  de  Sodio 10% x 10ml   Amp.</t>
  </si>
  <si>
    <t>Cloruro de Potasio 10 % Amp.</t>
  </si>
  <si>
    <t>Cloruro de sodio 0,9 % 10 ml ud.</t>
  </si>
  <si>
    <t>Cloruro de sodio 0,9 % 100 ml ud.</t>
  </si>
  <si>
    <t>Cloruro de sodio 0,9 % 20 ml ud.</t>
  </si>
  <si>
    <t>Cloruro de sodio 0,9 % 250 ml ud.</t>
  </si>
  <si>
    <t>Cloruro de sodio 0,9 % 5 ml ud.</t>
  </si>
  <si>
    <t>Cloruro de sodio 0,9 % 500 ml ud.</t>
  </si>
  <si>
    <t>CLORURO DE SODIO 10% 20ML   AMPOLLAS</t>
  </si>
  <si>
    <t>Comburt Test 10 parámetros ud.</t>
  </si>
  <si>
    <t>Control biologico autoclave ud.</t>
  </si>
  <si>
    <t>Control Esteril  Autoclave  de vapor tira  ud.</t>
  </si>
  <si>
    <t>Control externo autoclave rollos</t>
  </si>
  <si>
    <t>Control hoja Bowie Dick autoclave. ud.</t>
  </si>
  <si>
    <t>Control interno multiparametro autoclave tira ud.</t>
  </si>
  <si>
    <t>Control pupinel rollo</t>
  </si>
  <si>
    <t>Cortador de Pastillas  Ud.</t>
  </si>
  <si>
    <t>Decametrina O Piretrina Locion Antisarnica 60 Ml Fco.</t>
  </si>
  <si>
    <t>Decametrina O Piretrina Shampoo Pediculicida 120 Ml Fco.</t>
  </si>
  <si>
    <t>Delantal procedimiento desechable ud.</t>
  </si>
  <si>
    <t>Desincrustante  Lts.</t>
  </si>
  <si>
    <t>Detergente Enzimático 3.78lts (o 5 lts)   OTROS</t>
  </si>
  <si>
    <t>Ecofundas o preservativas para Ecografo ud.</t>
  </si>
  <si>
    <t>CIRUGIA MENOR</t>
  </si>
  <si>
    <t>Electrodos de Retorno Bipolar  (Placa Elestrobisturi) ud.</t>
  </si>
  <si>
    <t>Electrodos para ECG x 100 unidades</t>
  </si>
  <si>
    <t>Electrodos para ECG x 50 unidades</t>
  </si>
  <si>
    <t>Electrodos para monitor E.C.G. Niño ud.</t>
  </si>
  <si>
    <t>Electrodos set 4 Pinza Adulto metal</t>
  </si>
  <si>
    <t>Equipo Cetonemia (Freestyle)   OTROS</t>
  </si>
  <si>
    <t>Escudo facial Profecional Policarbonato ud.</t>
  </si>
  <si>
    <t>Escudo facial ud. Unidad  UNIDAD</t>
  </si>
  <si>
    <t>Espatulas Ayre (PAP) + Cepillo  Cervical  Kit.  ( Kit Citologia)</t>
  </si>
  <si>
    <t>Espatulas Ayre (PAP) ud.</t>
  </si>
  <si>
    <t>Etiqueta autoa. Demarka , papel Mate 70x100 mm. Rollo 692 (Impresora Farmacia)</t>
  </si>
  <si>
    <t>Etiqueta para Autoclave rollo</t>
  </si>
  <si>
    <t>Etiquetas para Examen térmica 30x50   rollo</t>
  </si>
  <si>
    <t>Extensor o Alargador Venoso con llave de 3 pasos  Ud.</t>
  </si>
  <si>
    <t>Filtro Bacteriano Viral   (cuadrado)  ud.</t>
  </si>
  <si>
    <t>Filtro Hepa Ambu ud.</t>
  </si>
  <si>
    <t>Flujometro   UNIDAD</t>
  </si>
  <si>
    <t>Fonendoscopio  o Estetoscopio Aluminio Adulto Ud. (con VB QF comunal)</t>
  </si>
  <si>
    <t>Fonendoscopio  o Estetoscopio Aluminio Pediatrico Ud. (con VB QF comunal)</t>
  </si>
  <si>
    <t>Formalina  Tamponada al 10 %  lts</t>
  </si>
  <si>
    <t>Frasco  Orina  Esteril  60 ml  tapa roja Ud. (Baciloscopia)</t>
  </si>
  <si>
    <t>GASA 10 x 10 X 2 sobres</t>
  </si>
  <si>
    <t>GASA 5 x 5  X 2 sobres</t>
  </si>
  <si>
    <t>Gasa 7,5 x 7,5  X 2 sobres</t>
  </si>
  <si>
    <t>Gasa hidrófila rollo</t>
  </si>
  <si>
    <t>Gel electro y ultrasonido 250 grs ud.</t>
  </si>
  <si>
    <t>Gel Frio para insulinas ud</t>
  </si>
  <si>
    <t>Glucosa al 10 % 250 ml ud.</t>
  </si>
  <si>
    <t>Glucosa al 30 % 20 ml ud.</t>
  </si>
  <si>
    <t>Glucosalino 2,5% isotonico 1000 ml ud.</t>
  </si>
  <si>
    <t>Glucosalino 2,5% isotonico 500 ml ud.</t>
  </si>
  <si>
    <t xml:space="preserve">Gorros desechables universal ud.  </t>
  </si>
  <si>
    <t>Guantes esteriles 6 1/2 Par.</t>
  </si>
  <si>
    <t>Guantes esteriles 6 Par.</t>
  </si>
  <si>
    <t>Guantes esteriles 7 1/2 Par.</t>
  </si>
  <si>
    <t>Guantes esteriles 7 Par.</t>
  </si>
  <si>
    <t>Guantes esteriles 8 Par.</t>
  </si>
  <si>
    <t xml:space="preserve">Guantes procedimiento (latex)  talla S  ud. </t>
  </si>
  <si>
    <t>Guantes procedimiento (latex) talla L ud.</t>
  </si>
  <si>
    <t xml:space="preserve">Guantes procedimiento (latex) talla M  Ud. </t>
  </si>
  <si>
    <t>Guantes procedimiento (latex) talla XS ud.</t>
  </si>
  <si>
    <t>Guantes Procedimiento Nitrilo  talla L    Ud.</t>
  </si>
  <si>
    <t>Guantes Procedimiento Nitrilo  talla M    Ud.</t>
  </si>
  <si>
    <t>Guantes Procedimiento Nitrilo  talla S    Ud.</t>
  </si>
  <si>
    <t>Humidificador desechable  500 ml  Ud.</t>
  </si>
  <si>
    <t>Humidificador Reutilizable ud.</t>
  </si>
  <si>
    <t>COVID</t>
  </si>
  <si>
    <t>Incentivador Respiratorio de 3 Balones  Ud.</t>
  </si>
  <si>
    <t>Jeringa 1 ml insulina ud.</t>
  </si>
  <si>
    <t>Jeringa 1 ml tuberculina ud.</t>
  </si>
  <si>
    <t>Jeringa 3 ml ud.</t>
  </si>
  <si>
    <t>Jeringa 5 ml ud.</t>
  </si>
  <si>
    <t>Jeringa 10 ml ud.</t>
  </si>
  <si>
    <t>Jeringa 20 ml ud.</t>
  </si>
  <si>
    <t>Jeringa de 50 o 60 ml ud.</t>
  </si>
  <si>
    <t>Kit Curacion Universal Esteril Desechable ud.</t>
  </si>
  <si>
    <t>Kit Repuesto Zapato Descargas N° L Ud. (1 Platilla - 1 Marcador)</t>
  </si>
  <si>
    <t>Kit Repuesto Zapato Descargas N° M Ud. (1 Platilla - 1 Marcador)</t>
  </si>
  <si>
    <t>Kit Repuesto Zapato Descargas N° S Ud. (1 Platilla - 1 Marcador)</t>
  </si>
  <si>
    <t>Kit Repuesto Zapato Descargas N° XL Ud. (1 Platilla - 1 Marcador)</t>
  </si>
  <si>
    <t>Kit Toma Muestra covid19 tubo 9 ml  Ud.</t>
  </si>
  <si>
    <t>Prog. Salud Sexual y Reproductiva</t>
  </si>
  <si>
    <t xml:space="preserve">KIT VPH VIRUS PAPILOMA HUMANO  </t>
  </si>
  <si>
    <t>Lancetas automaticas  Click ud.</t>
  </si>
  <si>
    <t>Lapiz de Boton de conmutacion ud.</t>
  </si>
  <si>
    <t>lapiz Electrobisturí desechable  Ud.</t>
  </si>
  <si>
    <t>Ligadura Vacuete Adulto ud.</t>
  </si>
  <si>
    <t>Ligadura Vacuete niño ud.</t>
  </si>
  <si>
    <t>LLAVE 3 PASOS    UNIDAD</t>
  </si>
  <si>
    <t>Loción Humectante Hipoalergenica PH5 25 ml Fco</t>
  </si>
  <si>
    <t>Manga Rollo Mixto para Esterilizar 7,5 cm x 100 mts.</t>
  </si>
  <si>
    <t>Manga  Rollo Mixto para Esterilizar 7,5 cm x 200 mts.</t>
  </si>
  <si>
    <t>Manga Rollo Mixto para Esterilizar 20 cm x 100 mts.</t>
  </si>
  <si>
    <t>Manga Rollo Mixto para Esterilizar 20 cm x 200 mts.</t>
  </si>
  <si>
    <t>Manga Rollo Mixto para Esterilizar 30 cm x 100 mts.</t>
  </si>
  <si>
    <t>Manga Rollo Mixto para Esterilizar 30 cm x 200 mts.</t>
  </si>
  <si>
    <t>Mangos bisturí con Bisturi Nº 23 ud.</t>
  </si>
  <si>
    <t>Mangos bisturí Nº 3 ud.</t>
  </si>
  <si>
    <t>Maquina para Colesterol Ud.</t>
  </si>
  <si>
    <t>Maquina para Glicemia</t>
  </si>
  <si>
    <t>Mariposa 21 G x 3/4 ud.</t>
  </si>
  <si>
    <t>Mariposa 23 G x 3/4 con adaptador luer vacuete ud.</t>
  </si>
  <si>
    <t>Mariposa 23 G x 3/4 ud.</t>
  </si>
  <si>
    <t>Mascarilla con Nebulización adulto ud.</t>
  </si>
  <si>
    <t>Mascarilla con Nebulización pediátrico ud.</t>
  </si>
  <si>
    <t>Mascarilla de Oxigeno Simple Adulto ud.</t>
  </si>
  <si>
    <t>Mascarilla de Oxigeno Simple Pediátrica ud.</t>
  </si>
  <si>
    <t>Mascarilla desechable KN95 ud.</t>
  </si>
  <si>
    <t>Mascarilla desechable N95 ud. (3M)</t>
  </si>
  <si>
    <t xml:space="preserve">Mascarilla desechable ud. </t>
  </si>
  <si>
    <t>Mascarilla Laringea Desch. Nº 1 ud.</t>
  </si>
  <si>
    <t>Mascarilla Laringea Desch. Nº 2 ud.</t>
  </si>
  <si>
    <t>Mascarilla Laringea Desch. Nº 3 ud.</t>
  </si>
  <si>
    <t>Mascarilla Laringea Desch. Nº 4 ud.</t>
  </si>
  <si>
    <t>Mascarilla Laringea Desch. Nº 5 ud.</t>
  </si>
  <si>
    <t>Mascarilla oxigeno adulto (Set sonda-nebulizador-Mascarilla) ud.</t>
  </si>
  <si>
    <t>Mascarilla oxigeno altoflujo adulto (venturi) ud.</t>
  </si>
  <si>
    <t>Mascarilla oxigeno altoflujo pediátrica (venturi) ud.</t>
  </si>
  <si>
    <t>Mascarilla oxigeno Con Reservorio adulto ud.</t>
  </si>
  <si>
    <t>Mascarilla oxigeno Con Reservorio pediátrica ud.</t>
  </si>
  <si>
    <t>Mascarilla oxigeno pediátrica (Set sonda-nebulizador-Mascarilla) ud.</t>
  </si>
  <si>
    <t>Monitor Multiparametros  (Signos Vitales)  (ARTM2)  Ud.</t>
  </si>
  <si>
    <t>Monofilamento desechable</t>
  </si>
  <si>
    <t>Monofilamento lápiz 10G   UNIDAD</t>
  </si>
  <si>
    <t>Nariceras Adulto ud. (Canula Nasal)</t>
  </si>
  <si>
    <t>Nariceras Niño ud. (Canula Nasal)</t>
  </si>
  <si>
    <t>Niple ud.</t>
  </si>
  <si>
    <t>Oximetro de Pulso o Saturometro Adulto (con VB QF comunal)   UNIDAD</t>
  </si>
  <si>
    <t>Oximetro de Pulso o Saturometro Infantil  ud.</t>
  </si>
  <si>
    <t>Paño Perforado de Campo Esteril ud.</t>
  </si>
  <si>
    <t>Papel  Térmico  Blanco Rollo  (UAPO)</t>
  </si>
  <si>
    <t>Papel ECG 210x 25   UNIDAD</t>
  </si>
  <si>
    <t>Papel ECG 50 x 30 rollo chico</t>
  </si>
  <si>
    <t>Papel ECG 63 x 30 rollo grande</t>
  </si>
  <si>
    <t>Papel ECG 80 x 20 rollo grande</t>
  </si>
  <si>
    <t>Papel ECG Fukuda 210 x 295 x 150 plegado Tipo Z ud.</t>
  </si>
  <si>
    <t>Papel ECG Fukuda 63 x 30 plegado tipo Z ud.</t>
  </si>
  <si>
    <t>Papel ECG Mac 400-600 80x90x280 tipo Z ud.</t>
  </si>
  <si>
    <t>Papel espirometro rollo</t>
  </si>
  <si>
    <t>Papel grado médico 50 x 50 ud.</t>
  </si>
  <si>
    <t>Papel grado médico 60 x 60 ud.</t>
  </si>
  <si>
    <t>Papel para EDAN SE-12 HELLIGE MAC- 1600-1200 210x295x150 Hoja</t>
  </si>
  <si>
    <t>Papel Termico 80 mm x 80 mts Rollo ( Impresora Farmacia)</t>
  </si>
  <si>
    <t>PAPEL TÉRMICO UPP-110S 110 mm x 20 m  UNIDAD</t>
  </si>
  <si>
    <t>Pastilleros ud.</t>
  </si>
  <si>
    <t>Pecheras desechables plasticas con Mangas ud.</t>
  </si>
  <si>
    <t>Peras adulto para Electrocardiografo ud.</t>
  </si>
  <si>
    <t>Pomada Azufrada 6% 50 g   POTE</t>
  </si>
  <si>
    <t>Porta objetos esmerilado ud.</t>
  </si>
  <si>
    <t>Pulverizador  Gatillo  500 ml  Ud.</t>
  </si>
  <si>
    <t>Receta Cheque para Estupef. y Prod. Psico. C. A.B.Goñi</t>
  </si>
  <si>
    <t>Receta Cheque para Estupef. y Prod. Psico. C. S. Joaquin</t>
  </si>
  <si>
    <t>Receta Cheque para Estupef. y Prod. Psico. C. Sor Teresa</t>
  </si>
  <si>
    <t>Receta Cheque para Estupef. y Prod. Psico. Cesam</t>
  </si>
  <si>
    <t>Receta Cheque para Estupef. y Prod. Psicot.SA.R. San Jaoquin</t>
  </si>
  <si>
    <t>Recetario Blanco CESAM</t>
  </si>
  <si>
    <t>Recetario Blanco CESFAM A. BAEZA Goñi</t>
  </si>
  <si>
    <t>Recetario Blanco CESFAM SAN JOAQUIN</t>
  </si>
  <si>
    <t>Recetario Blanco CESFAM SANTA TERESA</t>
  </si>
  <si>
    <t>Recetario Blanco SAR Enrique Molina   UNIDAD</t>
  </si>
  <si>
    <t>Recolector de Orina 2000 cc ud.</t>
  </si>
  <si>
    <t>Recolector de Orina Pediatrica ud.</t>
  </si>
  <si>
    <t>Rollo de Impresión test Orina Ud: (Comburtest)</t>
  </si>
  <si>
    <t>ASEO</t>
  </si>
  <si>
    <t>SABANILLA CLINICA 48MT   UNIDAD</t>
  </si>
  <si>
    <t>Sello Desechable para Carro de Paro Numerado SR rojo Ud.</t>
  </si>
  <si>
    <t>Set  de Dureza  (200 Determinaciones)</t>
  </si>
  <si>
    <t>Set oftalmo - otoscopio   UNIDAD</t>
  </si>
  <si>
    <t>Sobre de papel 0,25 L ( 1/4) ud.</t>
  </si>
  <si>
    <t>Sobre de papel 0,5 L (1/2) ud.</t>
  </si>
  <si>
    <t>Sobre para insulinas ud</t>
  </si>
  <si>
    <t>Sonda de aspiración 6 ud.</t>
  </si>
  <si>
    <t>Sonda de aspiración 8 ud.</t>
  </si>
  <si>
    <t>Sonda de aspiración 10 ud.</t>
  </si>
  <si>
    <t>Sonda de aspiración 12 ud.</t>
  </si>
  <si>
    <t>Sonda de aspiración 14 ud.</t>
  </si>
  <si>
    <t>Sonda de aspiración 16 ud.</t>
  </si>
  <si>
    <t>Sonda de aspiración Nª 20 ud.</t>
  </si>
  <si>
    <t>Sonda Foley 10 latex-cubierta de silicona ud.</t>
  </si>
  <si>
    <t>Sonda Foley 12 latex-cubierta de silicona ud.</t>
  </si>
  <si>
    <t>Sonda Foley 14 latex-cubierta de silicona ud.</t>
  </si>
  <si>
    <t>Sonda Foley 16 latex-cubierta de silicona ud.</t>
  </si>
  <si>
    <t>Sonda Foley 18 latex-cubierta de silicona ud.</t>
  </si>
  <si>
    <t>Sonda Foley 20 latex-cubierta de silicona ud.</t>
  </si>
  <si>
    <t>Sonda Foley 22 latex-cubierta de silicona ud.</t>
  </si>
  <si>
    <t>Sonda Foley 24 latex-cubierta de silicona ud.</t>
  </si>
  <si>
    <t>Sonda levin nasogastrica  8 FR. ud.</t>
  </si>
  <si>
    <t>Sonda levin nasogastrica 10 ud.</t>
  </si>
  <si>
    <t>Sonda levin nasogastrica 12 ud.</t>
  </si>
  <si>
    <t>Sonda levin nasogastrica 14 ud.</t>
  </si>
  <si>
    <t>Sonda levin nasogastrica 16 ud.</t>
  </si>
  <si>
    <t>Sonda levin nasogastrica 18 ud.</t>
  </si>
  <si>
    <t>Sonda nelaton Nª 6 ud.</t>
  </si>
  <si>
    <t>Sonda nelaton Nª 8 ud.</t>
  </si>
  <si>
    <t>Sonda nelaton 10 ud.</t>
  </si>
  <si>
    <t>Sonda nelaton 12 ud.</t>
  </si>
  <si>
    <t>Sonda nelaton 14 ud.</t>
  </si>
  <si>
    <t>Sonda nelaton 16 ud.</t>
  </si>
  <si>
    <t>Suero Glucosa 10% Matraz 500ml ud</t>
  </si>
  <si>
    <t>Suero Glucosa 5 %  Matraz 500ml  ud.</t>
  </si>
  <si>
    <t>Suero Glucosa al 5% 250 ml ud.</t>
  </si>
  <si>
    <t>Suero glucosado 10% x 500 ml ud.</t>
  </si>
  <si>
    <t>Suero Ringer Lactato 500 ml ud.</t>
  </si>
  <si>
    <t>Sutura Nylon punta atraumatica 2/0 ud.</t>
  </si>
  <si>
    <t>Sutura Nylon punta atraumatica 3/0 ud.</t>
  </si>
  <si>
    <t>Sutura Nylon punta atraumatica 4/0 ud.</t>
  </si>
  <si>
    <t>Sutura Nylon punta atraumatica 5/0 ud.</t>
  </si>
  <si>
    <t>Sutura Nylon punta atraumatica 6/0 ud.</t>
  </si>
  <si>
    <t>Sutura Seda Negra 2/0 ud.</t>
  </si>
  <si>
    <t>Sutura Seda Negra 3/0 ud.</t>
  </si>
  <si>
    <t>Sutura Seda Negra 4/0 ud.</t>
  </si>
  <si>
    <t>Sutura Seda Negra 5/0 ud.</t>
  </si>
  <si>
    <t>Sutura Seda Negra 6/0 ud.</t>
  </si>
  <si>
    <t>Sutura Steri-Strip 6 mm x 38 mm verde ud.</t>
  </si>
  <si>
    <t>Sutura Vicryl 3/0 ud. ud.</t>
  </si>
  <si>
    <t>Sutura Vicryl 4/0 ud. ud.</t>
  </si>
  <si>
    <t>Sutura Vicryl 5/0 ud.</t>
  </si>
  <si>
    <t/>
  </si>
  <si>
    <t>Sutura Vicryl 6/0 ud.</t>
  </si>
  <si>
    <t>Tapa amarilla heparinizada ud.</t>
  </si>
  <si>
    <t>Tela papel  2.5 cm x 9.1 mts  UNIDAD</t>
  </si>
  <si>
    <t>Tela papel 5 cm x 9.1 mts   UNIDAD</t>
  </si>
  <si>
    <t>Tela Transpore 2,5 cm x 9,1 mts ud.</t>
  </si>
  <si>
    <t>Tela Transpore 5 cm x 9,1 mts ud.</t>
  </si>
  <si>
    <t>Termómetro clínico digital   UNIDAD</t>
  </si>
  <si>
    <t>Termometro Digital a distancia   UNIDAD</t>
  </si>
  <si>
    <t>Termómetro max-min  -30  a  + 50°  ud.</t>
  </si>
  <si>
    <t>TEST DE ORINA 5D PANEL (Test Droga) (COC, THC, BZO, OPI Y AMP )  25 OTROS</t>
  </si>
  <si>
    <t>Test de orina Ketamina</t>
  </si>
  <si>
    <t>TEST Rapido Antigeno COVID   UNIDAD</t>
  </si>
  <si>
    <t>Tinta en Cinta trasfer. Termica Cera 110x74 Out para Impres. Zebra modelo GC420T</t>
  </si>
  <si>
    <t>TINTA ETIQUETADORA AUTOCLAVE   UNIDAD</t>
  </si>
  <si>
    <t>Torulas algodón granel 0,5 gr. ud.</t>
  </si>
  <si>
    <t>Traje Bioseguridad Desechable con cinta reflectaria ud</t>
  </si>
  <si>
    <t>Tubo endotraqueal 2 ud.</t>
  </si>
  <si>
    <t>Tubo endotraqueal 2.5 ud.</t>
  </si>
  <si>
    <t>Tubo endotraqueal 3.0 ud.</t>
  </si>
  <si>
    <t>Tubo endotraqueal 3.5 ud.</t>
  </si>
  <si>
    <t>Tubo endotraqueal 4.0 ud.</t>
  </si>
  <si>
    <t>Tubo endotraqueal 4.5 ud.</t>
  </si>
  <si>
    <t>Tubo endotraqueal 5.5 ud.</t>
  </si>
  <si>
    <t>Tubo endotraqueal 6.5 ud.</t>
  </si>
  <si>
    <t>Tubo endotraqueal 7.5 ud.</t>
  </si>
  <si>
    <t>Tubo endotraqueal 8 ud.</t>
  </si>
  <si>
    <t>Tubo endotraqueal 8.5 ud.</t>
  </si>
  <si>
    <t>Tubo endotraqueal 9 ud.</t>
  </si>
  <si>
    <t>Tubo endotraqueal 9,5  ud.</t>
  </si>
  <si>
    <t>Tubo Vacutain con Torula (CTM) (Covid-19 PCR) (S.S.M.S.) UD.</t>
  </si>
  <si>
    <t>Tubos BD Vacutainer Tapa Amarilla de Tamizaje de Hepatitis "B" Ud.</t>
  </si>
  <si>
    <t>Válvula de Entrenamiento Muscular</t>
  </si>
  <si>
    <t>Venda elastica 10 x 4 ud.</t>
  </si>
  <si>
    <t>Venda elastica 8 x 4 ud.</t>
  </si>
  <si>
    <t>Zapato Descarga Cuidado de Heridas  L Ud. (1 Zapato + 1 Plantilla)</t>
  </si>
  <si>
    <t>Zapato Descarga Cuidado de Heridas  XL Ud. (1 Zapato + 1 Plantilla)</t>
  </si>
  <si>
    <t>Zapato Descarga Cuidado de Heridas M Ud. (1 Zapato + 1 Plantilla)</t>
  </si>
  <si>
    <t>Zapato Descarga Cuidado de Heridas S Ud. (1 Zapato + 1 Plantilla)</t>
  </si>
  <si>
    <t>Zapato Descarga de Antepie Abierto N° M Ud.</t>
  </si>
  <si>
    <t>Zapato Descarga de Antepie Abierto N° S Ud.</t>
  </si>
  <si>
    <t>Zapato Descarga de Antepie Abierto N° XL Ud.</t>
  </si>
  <si>
    <t>Zapato Descarga de Antepie Abierto Talla L  Ud.</t>
  </si>
  <si>
    <t>Zapato Descarga de Retropie Cerrrado N° L Ud.</t>
  </si>
  <si>
    <t>Zapato Descarga de Retropie Cerrrado N° M Ud.</t>
  </si>
  <si>
    <t>Zapato Descarga de Retropie Cerrrado N° S Ud.</t>
  </si>
  <si>
    <t>Zapato Descarga de Retropie Cerrrado N° XL Ud.</t>
  </si>
  <si>
    <t>DENTAL</t>
  </si>
  <si>
    <t>Aceite turbina spray nsk fco.</t>
  </si>
  <si>
    <t>Acido Ortofosforico Gel 3grs Composite   FRASCOS</t>
  </si>
  <si>
    <t>ADHESIVO Resina para Composite</t>
  </si>
  <si>
    <t>Aguja Dental Corta Ud.</t>
  </si>
  <si>
    <t>Aguja Dental Larga Ud.</t>
  </si>
  <si>
    <t>Alcohol de Quemar 1.000 cc Lts.</t>
  </si>
  <si>
    <t>Anestesia c / vaso constrictor 2% UD.</t>
  </si>
  <si>
    <t>Anestesia s /vaso constrictor 3%  ud.</t>
  </si>
  <si>
    <t>Anestesia topica 20 %</t>
  </si>
  <si>
    <t>Antiseptico PMCFA (Paramonoclorofenol alcanforado)</t>
  </si>
  <si>
    <t>Banda porta matriz 5 mm. Ud</t>
  </si>
  <si>
    <t>Banda porta matriz 7 mm. Ud.</t>
  </si>
  <si>
    <t>Barniz de Fluoruro de sodio al 5% (Programa) ud.</t>
  </si>
  <si>
    <t>Caviwipes Toallas X 160   POTE</t>
  </si>
  <si>
    <t>Cemento oxifosfato kit.</t>
  </si>
  <si>
    <t>Cemento Temp. Obt. Fermin 40 grs.</t>
  </si>
  <si>
    <t>Cepillo dental adulto (GES EMBARAZADA)  UNIDAD</t>
  </si>
  <si>
    <t>Cepillo Dental Adulto Suave Ud.</t>
  </si>
  <si>
    <t>Cepillo dental para niños  (tipo dedal)  UNIDAD</t>
  </si>
  <si>
    <t>Cepillo Dental Suave Infantil    UNIDAD</t>
  </si>
  <si>
    <t>Cepillo Infantil  GES 6 años Ud.</t>
  </si>
  <si>
    <t>Cepillo infantil sembrando sonrisas ( 2 a 5) ud.  UNIDAD</t>
  </si>
  <si>
    <t>Cepillo para Protesis Dental GES 60 año ud.</t>
  </si>
  <si>
    <t>Cepillo Suave GES 60 años ud.</t>
  </si>
  <si>
    <t>Clorhexidina  0,12% (250 o 120 ml)   Fco.  UNIDAD</t>
  </si>
  <si>
    <t>Clorhexidina 1,2 % Oralgene Bd, 3,8 lts.</t>
  </si>
  <si>
    <t>Composite FilteK FLOW Z350 XT A3 UD.</t>
  </si>
  <si>
    <t>Composite Jeringas A2 Ud.</t>
  </si>
  <si>
    <t>Composite Jeringas A3 Ud.</t>
  </si>
  <si>
    <t>Composite Jeringas A3,5 Ud.</t>
  </si>
  <si>
    <t>Composite Jeringas B2 Ud.</t>
  </si>
  <si>
    <t>Composite Jeringas C2 Ud.</t>
  </si>
  <si>
    <t>Cresophene Solucion para uso Dental 13 ml. Fco.</t>
  </si>
  <si>
    <t>Cuñas maderas ud.</t>
  </si>
  <si>
    <t>Disco Soflex 1982C Grueso 3M  Ud.</t>
  </si>
  <si>
    <t>Disco Soflex 1982F Fino 3M Ud.</t>
  </si>
  <si>
    <t>Disco Soflex 1982M Mediano 3M Ud.</t>
  </si>
  <si>
    <t>Disco Soflex Difer. Medidas ud.</t>
  </si>
  <si>
    <t>Disco Soflex Kit 240 un + Mandril Kit.</t>
  </si>
  <si>
    <t>Dycalero ud.</t>
  </si>
  <si>
    <t>Escobilla limpia fresa ud.</t>
  </si>
  <si>
    <t>Escobillas C/A Blanda ud.</t>
  </si>
  <si>
    <t>Escobillas C/A Dura ud.</t>
  </si>
  <si>
    <t>Espatulas Cemento Yeso ud.</t>
  </si>
  <si>
    <t>Espatulas para composite ud.</t>
  </si>
  <si>
    <t>Espejos dentales ud.</t>
  </si>
  <si>
    <t>Eugenol fco.</t>
  </si>
  <si>
    <t>Eyectores desechables ud.</t>
  </si>
  <si>
    <t>Fluor de Enjuague Bucal 0,05 x 250 ml Fco.</t>
  </si>
  <si>
    <t>Fluoruro Diamino de Plata  Fco.</t>
  </si>
  <si>
    <t>Formocresol fco. 10 cc herts.</t>
  </si>
  <si>
    <t>Gelita plata ( hemostatico ) ud.</t>
  </si>
  <si>
    <t>Hemostatico liquido fco.</t>
  </si>
  <si>
    <t>Hidroxido de calcio ( capsulas) fco. x30   FRASCOS</t>
  </si>
  <si>
    <t>Hidroxido de calcio ( dycal ) fco. Pasta</t>
  </si>
  <si>
    <t>Huincha celuloide Recta ud.</t>
  </si>
  <si>
    <t>Huincha lija metalica ud.</t>
  </si>
  <si>
    <t>Huincha lija papel ud.</t>
  </si>
  <si>
    <t>Lampara Fotocurado LED Inalambrica modelo KY-L012 A/B/C UD.</t>
  </si>
  <si>
    <t>Limas H Nº 15 - 40 25mm kit x 6 ud.</t>
  </si>
  <si>
    <t>Limas K Nº 15 - 40 25mm  kit x 6 ud.</t>
  </si>
  <si>
    <t>Mango para Espejos Dentales Nº 5 ud</t>
  </si>
  <si>
    <t>Mercurio fco. 100 g.</t>
  </si>
  <si>
    <t>Microaplicador para adhesivos Amarillo fino Ud.M (Ex. Multibrunch)</t>
  </si>
  <si>
    <t>Oxido de zinc 60 g. fco.</t>
  </si>
  <si>
    <t>Papel articular caja</t>
  </si>
  <si>
    <t>Pasta Alveolar (Alveogyl ) 10g. ud.</t>
  </si>
  <si>
    <t>Pasta dental adulto (GES Embarazada)  UNIDAD</t>
  </si>
  <si>
    <t>Pasta Dental Adulto Ud.</t>
  </si>
  <si>
    <t>Pasta Dental Fluor (caristop) 60 años ud.</t>
  </si>
  <si>
    <t>Pasta Dental GES 60 años ud.</t>
  </si>
  <si>
    <t>Pasta Dental Infantil Max. Ges 6 años tubos Ud.</t>
  </si>
  <si>
    <t>Pasta dental infantil sembrando sonrisas   UNIDAD</t>
  </si>
  <si>
    <t>Pasta Dental Infantil Ud.  (Saldos Prog. Anterior)</t>
  </si>
  <si>
    <t>Pasta profilactica ud.</t>
  </si>
  <si>
    <t>Pastilla Reveladora bacteriana cm.</t>
  </si>
  <si>
    <t>Pinceles Para Sellantes Ud.</t>
  </si>
  <si>
    <t>Porta amalgama grande ud.</t>
  </si>
  <si>
    <t>Porta Disco C/A ud.</t>
  </si>
  <si>
    <t>Porta Disco Soflex grueso (Mandriles) ud.</t>
  </si>
  <si>
    <t>Porta matriz universal ud.</t>
  </si>
  <si>
    <t>Punta desechable para jeringa triple   UNIDAD</t>
  </si>
  <si>
    <t>Punta Metálica para Jeringa Triple x 10 Ud.</t>
  </si>
  <si>
    <t>Seda dental  PROGRAMA MINISTERIAL  UNIDAD</t>
  </si>
  <si>
    <t>Seda Dental Adulto 60 Años ud.</t>
  </si>
  <si>
    <t>Seda Dental Embarazada   UNIDAD</t>
  </si>
  <si>
    <t>Sellante Fotocurado set. (Fissurit F) Ud.   JERINGA</t>
  </si>
  <si>
    <t>Set Revelador y Fijador Fco.</t>
  </si>
  <si>
    <t>Sonda curva ud</t>
  </si>
  <si>
    <t>Sonda recta ud</t>
  </si>
  <si>
    <t>Tiranervio 15 ZIPPERER Blanco x 10 ud.</t>
  </si>
  <si>
    <t>Tiranervio 20 ZIPPERER Amarillo x 10 ud.</t>
  </si>
  <si>
    <t>Tiranervio 25 ZIPPERER Rojo x 10 ud.</t>
  </si>
  <si>
    <t>Tiranervio 30 ZIPPERER Azul x 10 ud.</t>
  </si>
  <si>
    <t>Torulas de Algodón Lisa PRD Ud.</t>
  </si>
  <si>
    <t>Torulas de Algodón Trenzada  Ud.   UNIDAD</t>
  </si>
  <si>
    <t>Vasos Plásticos Desechables Dental  90cc Ud</t>
  </si>
  <si>
    <t>Vidrio ionomero Autocurado (Glassliner)</t>
  </si>
  <si>
    <t>Vidrio ionomero Autocurado (Ketac Molar) ud.</t>
  </si>
  <si>
    <t>Vidrio ionomero Autocurado Chemfill ud.</t>
  </si>
  <si>
    <t>Curación Avanzada</t>
  </si>
  <si>
    <t>Aposito Colageno EDTA + MMPS   Ud.</t>
  </si>
  <si>
    <t>Aposito con DACC  7 x 9cm   Ud.   PARCHES</t>
  </si>
  <si>
    <t>Aposito de alginato  Calcio laminas 10 x 10 ud.   PARCHES</t>
  </si>
  <si>
    <t>Aposito de Alginato + Plata 10 x 10cm   Ud.   PARCHES</t>
  </si>
  <si>
    <t>Aposito de alginato calcio mecha 2,7 x 34 ud.   PARCHES</t>
  </si>
  <si>
    <t>Aposito Hidrocoloide esteril  (Duo Derm Extra delgada) 10 x 10  Ud.   PARCHES</t>
  </si>
  <si>
    <t>Apositos de espuma hidrofilica 10 x 10   Ud.   PARCHES</t>
  </si>
  <si>
    <t>Apositos Tull  + Plata 10 x 12  ud.</t>
  </si>
  <si>
    <t>Apositos Tull silicona 10 x 10</t>
  </si>
  <si>
    <t>Hidrogel amorfo 15 gr  TUBOS</t>
  </si>
  <si>
    <t>Protector  Cutaneo  Spray 28 ml  (Cavilon o Similar) Ud.</t>
  </si>
  <si>
    <t>Solución con polihexanida con betaína (Prontosan).  GEL 30 ml ud.</t>
  </si>
  <si>
    <t>Solución con polihexanida con betaína (Prontosan). 350 ml ud.</t>
  </si>
  <si>
    <t>Urgoderm / Fixomull stretch 10 x 10 cm</t>
  </si>
  <si>
    <t>Vendaje de  Gasa Parafinada  10 x 10 ud.  Parche</t>
  </si>
  <si>
    <t>(Anulette) Levonorgestrel 0,15mg / Etinilestradiol 0,03mg Recubierto Cm.  ( blister 28cm )  CICLOS</t>
  </si>
  <si>
    <t>Anticonceptivo de emergencia. 0,75 mg o 1,5 mg  COMPRIMIDOS</t>
  </si>
  <si>
    <t>Estradiol gel 0,5 mg/ dosis   FRASCOS</t>
  </si>
  <si>
    <t>Estradiol Micronizado ciclo 1 mg.  COMPRIMIDOS</t>
  </si>
  <si>
    <t>Estradiol/Didrogesterona   1mg/5mg ud.</t>
  </si>
  <si>
    <t>Etonogestrel implante subcutaneo 68 mg  UNIDAD</t>
  </si>
  <si>
    <t>Etonogestrel/Etinilestradiol  11,7mg/2,7mg (Anillo Vaginal)  Sobre ud.</t>
  </si>
  <si>
    <t>Levonorgestrel  (Anulit) 0,03mg.  CICLOS</t>
  </si>
  <si>
    <t>Levonorgestrel Dispositivo Intrauterino 20mcg/24 hrs. (Mirena)   52mg</t>
  </si>
  <si>
    <t>Levonorgestrel implante subdérmico + Trocar 2x75 mg  OTROS</t>
  </si>
  <si>
    <t>Lubricante acuoso (Prog. salud Sexual y Reproductiva) POMO</t>
  </si>
  <si>
    <t>Medroxiprogesterona Acetato 150 mg./1 ml. 150mg/1ml  JERINGA</t>
  </si>
  <si>
    <t>Medroxiprogesterona Acetato Susp. Inyectable (Sayana ) 104 mg/0.65 ml  JERINGA</t>
  </si>
  <si>
    <t>Medroxiprogesterona/Estradiol (Novafem Jeringa) 25/5 mg  JERINGA</t>
  </si>
  <si>
    <t>Nomegestrol  5 mg  COMPRIMIDOS</t>
  </si>
  <si>
    <t>Noretisterona/ Estradiol (Climaterio) 0,5/ 1mg Cm.</t>
  </si>
  <si>
    <t>Noretisterona/Estradiol (Mesigyna) 50/5 mg   JERINGA</t>
  </si>
  <si>
    <t>Preservativo Femenino   Ud.</t>
  </si>
  <si>
    <t>Preservativos resistente , C/Lubricante a base solucion acuosa o silicona ud.</t>
  </si>
  <si>
    <t>Progesterona Micronizada  100 mg  CICLOS</t>
  </si>
  <si>
    <t>T  de Cobre Modelo 380A   UNIDAD</t>
  </si>
  <si>
    <t>Test de Embarazo en orina   OTROS</t>
  </si>
  <si>
    <t>Test VIH  (Sida)  Ud.</t>
  </si>
  <si>
    <t>Tibolona   2,5 mg  COMPRIMIDOS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</si>
</sst>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1" fontId="1" fillId="0" borderId="0" applyFont="0" applyFill="0" applyBorder="0" applyAlignment="0" applyProtection="0"/>
  </cellStyleXfs>
  <cellXfs count="34">
    <xf numFmtId="0" fontId="0" fillId="0" borderId="0" xfId="0"/>
    <xf numFmtId="0" fontId="16" fillId="33" borderId="0" xfId="0" applyFont="1" applyFill="1" applyAlignment="1">
      <alignment vertical="center"/>
    </xf>
    <xf numFmtId="0" fontId="0" fillId="33" borderId="0" xfId="0" applyFill="1"/>
    <xf numFmtId="0" fontId="16" fillId="33" borderId="10" xfId="0" applyFont="1" applyFill="1" applyBorder="1"/>
    <xf numFmtId="0" fontId="18" fillId="34" borderId="11" xfId="0" applyFont="1" applyFill="1" applyBorder="1"/>
    <xf numFmtId="0" fontId="18" fillId="34" borderId="12" xfId="0" applyFont="1" applyFill="1" applyBorder="1" applyAlignment="1">
      <alignment wrapText="1"/>
    </xf>
    <xf numFmtId="0" fontId="18" fillId="34" borderId="12" xfId="0" applyFont="1" applyFill="1" applyBorder="1"/>
    <xf numFmtId="0" fontId="18" fillId="34" borderId="13" xfId="0" applyFont="1" applyFill="1" applyBorder="1"/>
    <xf numFmtId="0" fontId="0" fillId="33" borderId="10" xfId="0" applyFill="1" applyBorder="1"/>
    <xf numFmtId="0" fontId="0" fillId="33" borderId="10" xfId="0" applyFill="1" applyBorder="1" applyAlignment="1">
      <alignment wrapText="1"/>
    </xf>
    <xf numFmtId="0" fontId="0" fillId="33" borderId="0" xfId="0" applyFill="1" applyAlignment="1">
      <alignment wrapText="1"/>
    </xf>
    <xf numFmtId="1" fontId="0" fillId="33" borderId="14" xfId="0" applyNumberFormat="1" applyFill="1" applyBorder="1" applyProtection="1">
      <protection locked="0"/>
    </xf>
    <xf numFmtId="1" fontId="0" fillId="33" borderId="10" xfId="0" applyNumberFormat="1" applyFill="1" applyBorder="1" applyProtection="1">
      <protection locked="0"/>
    </xf>
    <xf numFmtId="0" fontId="20" fillId="33" borderId="10" xfId="0" applyFont="1" applyFill="1" applyBorder="1"/>
    <xf numFmtId="0" fontId="21" fillId="33" borderId="10" xfId="0" applyFont="1" applyFill="1" applyBorder="1"/>
    <xf numFmtId="1" fontId="0" fillId="33" borderId="14" xfId="0" applyNumberFormat="1" applyFill="1" applyBorder="1"/>
    <xf numFmtId="1" fontId="0" fillId="33" borderId="10" xfId="0" applyNumberFormat="1" applyFill="1" applyBorder="1"/>
    <xf numFmtId="49" fontId="0" fillId="33" borderId="10" xfId="0" applyNumberFormat="1" applyFill="1" applyBorder="1" applyProtection="1">
      <protection locked="0"/>
    </xf>
    <xf numFmtId="49" fontId="0" fillId="33" borderId="10" xfId="0" applyNumberFormat="1" applyFill="1" applyBorder="1" applyAlignment="1" applyProtection="1">
      <alignment wrapText="1"/>
      <protection locked="0"/>
    </xf>
    <xf numFmtId="3" fontId="0" fillId="33" borderId="10" xfId="0" applyNumberFormat="1" applyFill="1" applyBorder="1" applyProtection="1">
      <protection locked="0"/>
    </xf>
    <xf numFmtId="41" fontId="16" fillId="33" borderId="10" xfId="42" applyFont="1" applyFill="1" applyBorder="1" applyProtection="1"/>
    <xf numFmtId="0" fontId="20" fillId="0" borderId="0" xfId="0" applyFont="1"/>
    <xf numFmtId="0" fontId="22" fillId="33" borderId="10" xfId="0" applyFont="1" applyFill="1" applyBorder="1"/>
    <xf numFmtId="1" fontId="0" fillId="0" borderId="10" xfId="0" applyNumberFormat="1" applyBorder="1"/>
    <xf numFmtId="41" fontId="0" fillId="0" borderId="10" xfId="0" applyNumberFormat="1" applyBorder="1"/>
    <xf numFmtId="0" fontId="0" fillId="33" borderId="10" xfId="0" applyFill="1" applyBorder="1" applyAlignment="1">
      <alignment vertical="center" wrapText="1"/>
    </xf>
    <xf numFmtId="3" fontId="1" fillId="33" borderId="10" xfId="0" applyNumberFormat="1" applyFont="1" applyFill="1" applyBorder="1" applyProtection="1">
      <protection locked="0"/>
    </xf>
    <xf numFmtId="1" fontId="1" fillId="33" borderId="10" xfId="0" applyNumberFormat="1" applyFont="1" applyFill="1" applyBorder="1" applyProtection="1">
      <protection locked="0"/>
    </xf>
    <xf numFmtId="1" fontId="23" fillId="36" borderId="10" xfId="0" applyNumberFormat="1" applyFont="1" applyFill="1" applyBorder="1" applyProtection="1">
      <protection locked="0"/>
    </xf>
    <xf numFmtId="1" fontId="23" fillId="36" borderId="10" xfId="0" quotePrefix="1" applyNumberFormat="1" applyFont="1" applyFill="1" applyBorder="1" applyProtection="1">
      <protection locked="0"/>
    </xf>
    <xf numFmtId="0" fontId="0" fillId="33" borderId="0" xfId="0" applyFill="1" applyAlignment="1">
      <alignment horizontal="center"/>
    </xf>
    <xf numFmtId="0" fontId="16" fillId="33" borderId="0" xfId="0" applyFont="1" applyFill="1" applyAlignment="1">
      <alignment horizontal="center" vertical="center"/>
    </xf>
    <xf numFmtId="0" fontId="19" fillId="35" borderId="10" xfId="0" applyFont="1" applyFill="1" applyBorder="1" applyAlignment="1" applyProtection="1">
      <alignment horizontal="center"/>
      <protection locked="0"/>
    </xf>
    <xf numFmtId="14" fontId="16" fillId="35" borderId="10" xfId="0" applyNumberFormat="1" applyFont="1" applyFill="1" applyBorder="1" applyAlignment="1" applyProtection="1">
      <alignment horizontal="center"/>
      <protection locked="0" hidden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illares [0]" xfId="42" builtinId="6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3" formatCode="_ * #,##0_ ;_ * \-#,##0_ ;_ * &quot;-&quot;_ ;_ @_ 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rgb="FFFFFFFF"/>
        </patternFill>
      </fill>
      <protection locked="1" hidden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3" formatCode="_ * #,##0_ ;_ * \-#,##0_ ;_ * &quot;-&quot;_ ;_ @_ 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rgb="FFFFFFFF"/>
        </patternFill>
      </fill>
      <protection locked="1" hidden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3" formatCode="_ * #,##0_ ;_ * \-#,##0_ ;_ * &quot;-&quot;_ ;_ @_ 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rgb="FFFFFFFF"/>
        </patternFill>
      </fill>
      <protection locked="1" hidden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3" formatCode="_ * #,##0_ ;_ * \-#,##0_ ;_ * &quot;-&quot;_ ;_ @_ 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theme="0"/>
        </patternFill>
      </fill>
      <protection locked="1" hidden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3" formatCode="_ * #,##0_ ;_ * \-#,##0_ ;_ * &quot;-&quot;_ ;_ @_ 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fill>
        <patternFill patternType="none"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1" hidden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rgb="FF000000"/>
          <bgColor rgb="FFFFFFFF"/>
        </patternFill>
      </fill>
      <protection locked="1" hidden="0"/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fill>
        <patternFill patternType="solid">
          <fgColor theme="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1</xdr:col>
      <xdr:colOff>23812</xdr:colOff>
      <xdr:row>3</xdr:row>
      <xdr:rowOff>144780</xdr:rowOff>
    </xdr:to>
    <xdr:pic>
      <xdr:nvPicPr>
        <xdr:cNvPr id="2" name="1 Imagen" descr="C:\Users\Usuario\Desktop\LOGO SALUD PNG 34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776287" cy="7162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1</xdr:col>
      <xdr:colOff>23812</xdr:colOff>
      <xdr:row>3</xdr:row>
      <xdr:rowOff>144780</xdr:rowOff>
    </xdr:to>
    <xdr:pic>
      <xdr:nvPicPr>
        <xdr:cNvPr id="2" name="1 Imagen" descr="C:\Users\Usuario\Desktop\LOGO SALUD PNG 34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771525" cy="74485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1</xdr:col>
      <xdr:colOff>23812</xdr:colOff>
      <xdr:row>3</xdr:row>
      <xdr:rowOff>144780</xdr:rowOff>
    </xdr:to>
    <xdr:pic>
      <xdr:nvPicPr>
        <xdr:cNvPr id="2" name="1 Imagen" descr="C:\Users\Usuario\Desktop\LOGO SALUD PNG 3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776287" cy="7162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1</xdr:col>
      <xdr:colOff>23812</xdr:colOff>
      <xdr:row>3</xdr:row>
      <xdr:rowOff>144780</xdr:rowOff>
    </xdr:to>
    <xdr:pic>
      <xdr:nvPicPr>
        <xdr:cNvPr id="2" name="1 Imagen" descr="C:\Users\Usuario\Desktop\LOGO SALUD PNG 34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776287" cy="7162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228600</xdr:colOff>
      <xdr:row>0</xdr:row>
      <xdr:rowOff>0</xdr:rowOff>
    </xdr:from>
    <xdr:to>
      <xdr:col>1</xdr:col>
      <xdr:colOff>23812</xdr:colOff>
      <xdr:row>3</xdr:row>
      <xdr:rowOff>144780</xdr:rowOff>
    </xdr:to>
    <xdr:pic>
      <xdr:nvPicPr>
        <xdr:cNvPr id="2" name="1 Imagen" descr="C:\Users\Usuario\Desktop\LOGO SALUD PNG 34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8600" y="0"/>
          <a:ext cx="776287" cy="71628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0000000}" name="Tabla27" displayName="Tabla27" ref="A5:G291" totalsRowShown="0" headerRowDxfId="64" dataDxfId="62" headerRowBorderDxfId="63" tableBorderDxfId="61" totalsRowBorderDxfId="60">
  <autoFilter ref="A5:G291" xr:uid="{00000000-0009-0000-0100-000006000000}"/>
  <sortState xmlns:xlrd2="http://schemas.microsoft.com/office/spreadsheetml/2017/richdata2" ref="A6:F332">
    <sortCondition ref="B1:B334"/>
  </sortState>
  <tableColumns count="7">
    <tableColumn id="1" xr3:uid="{00000000-0010-0000-0000-000001000000}" name="TIPO" dataDxfId="59"/>
    <tableColumn id="2" xr3:uid="{00000000-0010-0000-0000-000002000000}" name="PRODUCTO" dataDxfId="58"/>
    <tableColumn id="3" xr3:uid="{00000000-0010-0000-0000-000003000000}" name="CONSUMO MENSUAL" dataDxfId="57"/>
    <tableColumn id="4" xr3:uid="{00000000-0010-0000-0000-000004000000}" name="STOCK ACTUAL" dataDxfId="56"/>
    <tableColumn id="5" xr3:uid="{00000000-0010-0000-0000-000005000000}" name="SOLICITUD TEORICA" dataDxfId="55">
      <calculatedColumnFormula>-(Tabla27[[#This Row],[STOCK ACTUAL]]-Tabla27[[#This Row],[CONSUMO MENSUAL]]*1.15)</calculatedColumnFormula>
    </tableColumn>
    <tableColumn id="7" xr3:uid="{00000000-0010-0000-0000-000007000000}" name="SOLICITUD REAL" dataDxfId="54"/>
    <tableColumn id="6" xr3:uid="{00000000-0010-0000-0000-000006000000}" name="ENTREGA DE BODEGA" dataDxfId="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5:G346" totalsRowShown="0" headerRowDxfId="52" dataDxfId="50" headerRowBorderDxfId="51" tableBorderDxfId="49" totalsRowBorderDxfId="48">
  <autoFilter ref="A5:G346" xr:uid="{00000000-0009-0000-0100-000002000000}"/>
  <sortState xmlns:xlrd2="http://schemas.microsoft.com/office/spreadsheetml/2017/richdata2" ref="A6:G346">
    <sortCondition ref="B1:B334"/>
  </sortState>
  <tableColumns count="7">
    <tableColumn id="1" xr3:uid="{00000000-0010-0000-0100-000001000000}" name="TIPO" dataDxfId="47"/>
    <tableColumn id="2" xr3:uid="{00000000-0010-0000-0100-000002000000}" name="PRODUCTO" dataDxfId="46"/>
    <tableColumn id="3" xr3:uid="{00000000-0010-0000-0100-000003000000}" name="CONSUMO MENSUAL" dataDxfId="45"/>
    <tableColumn id="4" xr3:uid="{00000000-0010-0000-0100-000004000000}" name="STOCK ACTUAL" dataDxfId="44"/>
    <tableColumn id="5" xr3:uid="{00000000-0010-0000-0100-000005000000}" name="SOLICITUD TEORICA" dataDxfId="43">
      <calculatedColumnFormula>-(Tabla2[[#This Row],[STOCK ACTUAL]]-Tabla2[[#This Row],[CONSUMO MENSUAL]]*1.15)</calculatedColumnFormula>
    </tableColumn>
    <tableColumn id="7" xr3:uid="{00000000-0010-0000-0100-000007000000}" name="SOLICITUD REAL" dataDxfId="42"/>
    <tableColumn id="6" xr3:uid="{00000000-0010-0000-0100-000006000000}" name="ENTREGA DE BODEGA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Tabla26" displayName="Tabla26" ref="A5:G111" totalsRowShown="0" headerRowDxfId="40" dataDxfId="38" headerRowBorderDxfId="39" tableBorderDxfId="37" totalsRowBorderDxfId="36">
  <autoFilter ref="A5:G111" xr:uid="{00000000-0009-0000-0100-000005000000}"/>
  <sortState xmlns:xlrd2="http://schemas.microsoft.com/office/spreadsheetml/2017/richdata2" ref="A6:F332">
    <sortCondition ref="B1:B334"/>
  </sortState>
  <tableColumns count="7">
    <tableColumn id="1" xr3:uid="{00000000-0010-0000-0200-000001000000}" name="TIPO" dataDxfId="35"/>
    <tableColumn id="2" xr3:uid="{00000000-0010-0000-0200-000002000000}" name="PRODUCTO" dataDxfId="34"/>
    <tableColumn id="3" xr3:uid="{00000000-0010-0000-0200-000003000000}" name="CONSUMO MENSUAL" dataDxfId="33"/>
    <tableColumn id="4" xr3:uid="{00000000-0010-0000-0200-000004000000}" name="STOCK ACTUAL" dataDxfId="32"/>
    <tableColumn id="5" xr3:uid="{00000000-0010-0000-0200-000005000000}" name="SOLICITUD TEORICA" dataDxfId="31">
      <calculatedColumnFormula>-(Tabla26[[#This Row],[STOCK ACTUAL]]-Tabla26[[#This Row],[CONSUMO MENSUAL]]*1.15)</calculatedColumnFormula>
    </tableColumn>
    <tableColumn id="7" xr3:uid="{00000000-0010-0000-0200-000007000000}" name="SOLICITUD REAL" dataDxfId="30"/>
    <tableColumn id="6" xr3:uid="{00000000-0010-0000-0200-000006000000}" name="ENTREGA DE BODEGA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25" displayName="Tabla25" ref="A5:G25" totalsRowShown="0" headerRowDxfId="28" dataDxfId="26" headerRowBorderDxfId="27" tableBorderDxfId="25" totalsRowBorderDxfId="24">
  <autoFilter ref="A5:G25" xr:uid="{00000000-0009-0000-0100-000004000000}"/>
  <sortState xmlns:xlrd2="http://schemas.microsoft.com/office/spreadsheetml/2017/richdata2" ref="A6:F332">
    <sortCondition ref="B1:B334"/>
  </sortState>
  <tableColumns count="7">
    <tableColumn id="1" xr3:uid="{00000000-0010-0000-0300-000001000000}" name="TIPO" dataDxfId="23"/>
    <tableColumn id="2" xr3:uid="{00000000-0010-0000-0300-000002000000}" name="PRODUCTO" dataDxfId="22"/>
    <tableColumn id="3" xr3:uid="{00000000-0010-0000-0300-000003000000}" name="CONSUMO MENSUAL" dataDxfId="21"/>
    <tableColumn id="4" xr3:uid="{00000000-0010-0000-0300-000004000000}" name="STOCK ACTUAL" dataDxfId="20"/>
    <tableColumn id="5" xr3:uid="{00000000-0010-0000-0300-000005000000}" name="SOLICITUD TEORICA" dataDxfId="19">
      <calculatedColumnFormula>-(Tabla25[[#This Row],[STOCK ACTUAL]]-Tabla25[[#This Row],[CONSUMO MENSUAL]]*1.15)</calculatedColumnFormula>
    </tableColumn>
    <tableColumn id="7" xr3:uid="{00000000-0010-0000-0300-000007000000}" name="SOLICITUD REAL" dataDxfId="18"/>
    <tableColumn id="6" xr3:uid="{00000000-0010-0000-0300-000006000000}" name="ENTREGA DE BODEGA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la278" displayName="Tabla278" ref="A5:G34" totalsRowShown="0" headerRowDxfId="16" dataDxfId="14" headerRowBorderDxfId="15" tableBorderDxfId="13" totalsRowBorderDxfId="12">
  <autoFilter ref="A5:G34" xr:uid="{00000000-0009-0000-0100-000007000000}"/>
  <sortState xmlns:xlrd2="http://schemas.microsoft.com/office/spreadsheetml/2017/richdata2" ref="A6:F332">
    <sortCondition ref="B1:B334"/>
  </sortState>
  <tableColumns count="7">
    <tableColumn id="1" xr3:uid="{00000000-0010-0000-0400-000001000000}" name="TIPO" dataDxfId="11"/>
    <tableColumn id="2" xr3:uid="{00000000-0010-0000-0400-000002000000}" name="PRODUCTO" dataDxfId="10"/>
    <tableColumn id="3" xr3:uid="{00000000-0010-0000-0400-000003000000}" name="CONSUMO MENSUAL" dataDxfId="9"/>
    <tableColumn id="4" xr3:uid="{00000000-0010-0000-0400-000004000000}" name="STOCK ACTUAL" dataDxfId="8"/>
    <tableColumn id="5" xr3:uid="{00000000-0010-0000-0400-000005000000}" name="SOLICITUD TEORICA" dataDxfId="7">
      <calculatedColumnFormula>-(Tabla278[[#This Row],[STOCK ACTUAL]]-Tabla278[[#This Row],[CONSUMO MENSUAL]]*1.15)</calculatedColumnFormula>
    </tableColumn>
    <tableColumn id="7" xr3:uid="{00000000-0010-0000-0400-000007000000}" name="SOLICITUD REAL" dataDxfId="6"/>
    <tableColumn id="6" xr3:uid="{00000000-0010-0000-0400-000006000000}" name="ENTREGA DE BODEGA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91"/>
  <sheetViews>
    <sheetView tabSelected="1" zoomScaleNormal="100" workbookViewId="0">
      <pane ySplit="5" topLeftCell="A6" activePane="bottomLeft" state="frozen"/>
      <selection pane="bottomLeft" activeCell="C9" sqref="C9:D176"/>
    </sheetView>
  </sheetViews>
  <sheetFormatPr baseColWidth="10" defaultColWidth="11.42578125" defaultRowHeight="15" customHeight="1" x14ac:dyDescent="0.25"/>
  <cols>
    <col min="1" max="1" width="14.7109375" style="2" customWidth="1"/>
    <col min="2" max="2" width="54" style="10" customWidth="1"/>
    <col min="3" max="3" width="17.28515625" style="2" customWidth="1"/>
    <col min="4" max="4" width="14.7109375" style="2" customWidth="1"/>
    <col min="5" max="5" width="18.7109375" style="2" customWidth="1"/>
    <col min="6" max="6" width="17" style="2" customWidth="1"/>
    <col min="7" max="7" width="22.140625" style="2" customWidth="1"/>
    <col min="8" max="9" width="11.42578125" style="2"/>
    <col min="10" max="10" width="11.42578125" style="2" hidden="1" customWidth="1"/>
    <col min="11" max="16384" width="11.42578125" style="2"/>
  </cols>
  <sheetData>
    <row r="1" spans="1:10" ht="15" customHeight="1" x14ac:dyDescent="0.25">
      <c r="A1" s="30"/>
      <c r="B1" s="1"/>
      <c r="J1" s="2" t="s">
        <v>0</v>
      </c>
    </row>
    <row r="2" spans="1:10" ht="15" customHeight="1" x14ac:dyDescent="0.25">
      <c r="A2" s="30"/>
      <c r="B2" s="31" t="s">
        <v>1</v>
      </c>
      <c r="C2" s="31"/>
      <c r="D2" s="31"/>
      <c r="E2" s="3" t="s">
        <v>2</v>
      </c>
      <c r="F2" s="32" t="s">
        <v>5</v>
      </c>
      <c r="G2" s="32"/>
      <c r="J2" s="2" t="s">
        <v>3</v>
      </c>
    </row>
    <row r="3" spans="1:10" ht="15" customHeight="1" x14ac:dyDescent="0.25">
      <c r="A3" s="30"/>
      <c r="B3" s="31"/>
      <c r="C3" s="31"/>
      <c r="D3" s="31"/>
      <c r="E3" s="3" t="s">
        <v>4</v>
      </c>
      <c r="F3" s="33"/>
      <c r="G3" s="33"/>
      <c r="J3" s="2" t="s">
        <v>5</v>
      </c>
    </row>
    <row r="4" spans="1:10" ht="15" customHeight="1" x14ac:dyDescent="0.25">
      <c r="A4" s="30"/>
      <c r="B4" s="1"/>
      <c r="J4" s="2" t="s">
        <v>6</v>
      </c>
    </row>
    <row r="5" spans="1:10" ht="15" customHeight="1" x14ac:dyDescent="0.25">
      <c r="A5" s="4" t="s">
        <v>7</v>
      </c>
      <c r="B5" s="5" t="s">
        <v>8</v>
      </c>
      <c r="C5" s="6" t="s">
        <v>9</v>
      </c>
      <c r="D5" s="6" t="s">
        <v>10</v>
      </c>
      <c r="E5" s="6" t="s">
        <v>11</v>
      </c>
      <c r="F5" s="6" t="s">
        <v>12</v>
      </c>
      <c r="G5" s="7" t="s">
        <v>13</v>
      </c>
      <c r="J5" s="2" t="s">
        <v>14</v>
      </c>
    </row>
    <row r="6" spans="1:10" ht="15" customHeight="1" x14ac:dyDescent="0.25">
      <c r="A6" s="8" t="s">
        <v>15</v>
      </c>
      <c r="B6" s="8" t="s">
        <v>16</v>
      </c>
      <c r="C6" s="26"/>
      <c r="D6" s="26"/>
      <c r="E6" s="20">
        <f>-(Tabla27[[#This Row],[STOCK ACTUAL]]-Tabla27[[#This Row],[CONSUMO MENSUAL]]*1.15)</f>
        <v>0</v>
      </c>
      <c r="F6" s="27"/>
      <c r="G6" s="11"/>
      <c r="J6" s="2" t="s">
        <v>17</v>
      </c>
    </row>
    <row r="7" spans="1:10" ht="15" customHeight="1" x14ac:dyDescent="0.25">
      <c r="A7" s="8" t="s">
        <v>18</v>
      </c>
      <c r="B7" s="8" t="s">
        <v>19</v>
      </c>
      <c r="C7" s="26"/>
      <c r="D7" s="26"/>
      <c r="E7" s="20">
        <f>-(Tabla27[[#This Row],[STOCK ACTUAL]]-Tabla27[[#This Row],[CONSUMO MENSUAL]]*1.15)</f>
        <v>0</v>
      </c>
      <c r="F7" s="27"/>
      <c r="G7" s="11"/>
      <c r="J7" s="2" t="s">
        <v>20</v>
      </c>
    </row>
    <row r="8" spans="1:10" ht="15" customHeight="1" x14ac:dyDescent="0.25">
      <c r="A8" s="8" t="s">
        <v>15</v>
      </c>
      <c r="B8" s="8" t="s">
        <v>21</v>
      </c>
      <c r="C8" s="19"/>
      <c r="D8" s="19"/>
      <c r="E8" s="20">
        <f>-(Tabla27[[#This Row],[STOCK ACTUAL]]-Tabla27[[#This Row],[CONSUMO MENSUAL]]*1.15)</f>
        <v>0</v>
      </c>
      <c r="F8" s="12"/>
      <c r="G8" s="11"/>
      <c r="J8" s="2" t="s">
        <v>22</v>
      </c>
    </row>
    <row r="9" spans="1:10" ht="15" customHeight="1" x14ac:dyDescent="0.25">
      <c r="A9" s="8" t="s">
        <v>15</v>
      </c>
      <c r="B9" s="8" t="s">
        <v>23</v>
      </c>
      <c r="C9" s="19"/>
      <c r="D9" s="19"/>
      <c r="E9" s="20">
        <f>-(Tabla27[[#This Row],[STOCK ACTUAL]]-Tabla27[[#This Row],[CONSUMO MENSUAL]]*1.15)</f>
        <v>0</v>
      </c>
      <c r="F9" s="12"/>
      <c r="G9" s="11"/>
      <c r="J9" s="2" t="s">
        <v>24</v>
      </c>
    </row>
    <row r="10" spans="1:10" ht="15" customHeight="1" x14ac:dyDescent="0.25">
      <c r="A10" s="8" t="s">
        <v>25</v>
      </c>
      <c r="B10" s="8" t="s">
        <v>26</v>
      </c>
      <c r="C10" s="19"/>
      <c r="D10" s="19"/>
      <c r="E10" s="20">
        <f>-(Tabla27[[#This Row],[STOCK ACTUAL]]-Tabla27[[#This Row],[CONSUMO MENSUAL]]*1.15)</f>
        <v>0</v>
      </c>
      <c r="F10" s="12"/>
      <c r="G10" s="11"/>
      <c r="J10" s="2" t="s">
        <v>27</v>
      </c>
    </row>
    <row r="11" spans="1:10" ht="15" customHeight="1" x14ac:dyDescent="0.25">
      <c r="A11" s="8" t="s">
        <v>15</v>
      </c>
      <c r="B11" s="8" t="s">
        <v>28</v>
      </c>
      <c r="C11" s="19"/>
      <c r="D11" s="19"/>
      <c r="E11" s="20">
        <f>-(Tabla27[[#This Row],[STOCK ACTUAL]]-Tabla27[[#This Row],[CONSUMO MENSUAL]]*1.15)</f>
        <v>0</v>
      </c>
      <c r="F11" s="12"/>
      <c r="G11" s="11"/>
      <c r="J11" s="2" t="s">
        <v>29</v>
      </c>
    </row>
    <row r="12" spans="1:10" ht="15" customHeight="1" x14ac:dyDescent="0.25">
      <c r="A12" s="8" t="s">
        <v>15</v>
      </c>
      <c r="B12" s="8" t="s">
        <v>30</v>
      </c>
      <c r="C12" s="19"/>
      <c r="D12" s="19"/>
      <c r="E12" s="20">
        <f>-(Tabla27[[#This Row],[STOCK ACTUAL]]-Tabla27[[#This Row],[CONSUMO MENSUAL]]*1.15)</f>
        <v>0</v>
      </c>
      <c r="F12" s="12"/>
      <c r="G12" s="11"/>
    </row>
    <row r="13" spans="1:10" ht="15" customHeight="1" x14ac:dyDescent="0.25">
      <c r="A13" s="8" t="s">
        <v>15</v>
      </c>
      <c r="B13" s="8" t="s">
        <v>31</v>
      </c>
      <c r="C13" s="19"/>
      <c r="D13" s="19"/>
      <c r="E13" s="20">
        <f>-(Tabla27[[#This Row],[STOCK ACTUAL]]-Tabla27[[#This Row],[CONSUMO MENSUAL]]*1.15)</f>
        <v>0</v>
      </c>
      <c r="F13" s="12"/>
      <c r="G13" s="11"/>
    </row>
    <row r="14" spans="1:10" ht="15" customHeight="1" x14ac:dyDescent="0.25">
      <c r="A14" s="8" t="s">
        <v>32</v>
      </c>
      <c r="B14" s="8" t="s">
        <v>33</v>
      </c>
      <c r="C14" s="19"/>
      <c r="D14" s="19"/>
      <c r="E14" s="20">
        <f>-(Tabla27[[#This Row],[STOCK ACTUAL]]-Tabla27[[#This Row],[CONSUMO MENSUAL]]*1.15)</f>
        <v>0</v>
      </c>
      <c r="F14" s="12"/>
      <c r="G14" s="11"/>
    </row>
    <row r="15" spans="1:10" ht="15" customHeight="1" x14ac:dyDescent="0.25">
      <c r="A15" s="8" t="s">
        <v>34</v>
      </c>
      <c r="B15" s="8" t="s">
        <v>35</v>
      </c>
      <c r="C15" s="19"/>
      <c r="D15" s="19"/>
      <c r="E15" s="20">
        <f>-(Tabla27[[#This Row],[STOCK ACTUAL]]-Tabla27[[#This Row],[CONSUMO MENSUAL]]*1.15)</f>
        <v>0</v>
      </c>
      <c r="F15" s="12"/>
      <c r="G15" s="11"/>
    </row>
    <row r="16" spans="1:10" ht="15" customHeight="1" x14ac:dyDescent="0.25">
      <c r="A16" s="8" t="s">
        <v>36</v>
      </c>
      <c r="B16" s="8" t="s">
        <v>37</v>
      </c>
      <c r="C16" s="19"/>
      <c r="D16" s="19"/>
      <c r="E16" s="20">
        <f>-(Tabla27[[#This Row],[STOCK ACTUAL]]-Tabla27[[#This Row],[CONSUMO MENSUAL]]*1.15)</f>
        <v>0</v>
      </c>
      <c r="F16" s="12"/>
      <c r="G16" s="11"/>
    </row>
    <row r="17" spans="1:7" ht="15" customHeight="1" x14ac:dyDescent="0.25">
      <c r="A17" s="8" t="s">
        <v>36</v>
      </c>
      <c r="B17" s="8" t="s">
        <v>38</v>
      </c>
      <c r="C17" s="19"/>
      <c r="D17" s="19"/>
      <c r="E17" s="20">
        <f>-(Tabla27[[#This Row],[STOCK ACTUAL]]-Tabla27[[#This Row],[CONSUMO MENSUAL]]*1.15)</f>
        <v>0</v>
      </c>
      <c r="F17" s="12"/>
      <c r="G17" s="11"/>
    </row>
    <row r="18" spans="1:7" ht="15" customHeight="1" x14ac:dyDescent="0.25">
      <c r="A18" s="8" t="s">
        <v>36</v>
      </c>
      <c r="B18" s="8" t="s">
        <v>39</v>
      </c>
      <c r="C18" s="12"/>
      <c r="D18" s="12"/>
      <c r="E18" s="20">
        <f>-(Tabla27[[#This Row],[STOCK ACTUAL]]-Tabla27[[#This Row],[CONSUMO MENSUAL]]*1.15)</f>
        <v>0</v>
      </c>
      <c r="F18" s="12"/>
      <c r="G18" s="11"/>
    </row>
    <row r="19" spans="1:7" ht="15" customHeight="1" x14ac:dyDescent="0.25">
      <c r="A19" s="8" t="s">
        <v>36</v>
      </c>
      <c r="B19" s="8" t="s">
        <v>40</v>
      </c>
      <c r="C19" s="12"/>
      <c r="D19" s="12"/>
      <c r="E19" s="20">
        <f>-(Tabla27[[#This Row],[STOCK ACTUAL]]-Tabla27[[#This Row],[CONSUMO MENSUAL]]*1.15)</f>
        <v>0</v>
      </c>
      <c r="F19" s="12"/>
      <c r="G19" s="11"/>
    </row>
    <row r="20" spans="1:7" ht="15" customHeight="1" x14ac:dyDescent="0.25">
      <c r="A20" s="8" t="s">
        <v>41</v>
      </c>
      <c r="B20" s="8" t="s">
        <v>42</v>
      </c>
      <c r="C20" s="12"/>
      <c r="D20" s="12"/>
      <c r="E20" s="20">
        <f>-(Tabla27[[#This Row],[STOCK ACTUAL]]-Tabla27[[#This Row],[CONSUMO MENSUAL]]*1.15)</f>
        <v>0</v>
      </c>
      <c r="F20" s="12"/>
      <c r="G20" s="11"/>
    </row>
    <row r="21" spans="1:7" ht="15" customHeight="1" x14ac:dyDescent="0.25">
      <c r="A21" s="8" t="s">
        <v>41</v>
      </c>
      <c r="B21" s="8" t="s">
        <v>43</v>
      </c>
      <c r="C21" s="12"/>
      <c r="D21" s="12"/>
      <c r="E21" s="20">
        <f>-(Tabla27[[#This Row],[STOCK ACTUAL]]-Tabla27[[#This Row],[CONSUMO MENSUAL]]*1.15)</f>
        <v>0</v>
      </c>
      <c r="F21" s="12"/>
      <c r="G21" s="11"/>
    </row>
    <row r="22" spans="1:7" ht="15" customHeight="1" x14ac:dyDescent="0.25">
      <c r="A22" s="8" t="s">
        <v>32</v>
      </c>
      <c r="B22" s="8" t="s">
        <v>44</v>
      </c>
      <c r="C22" s="12"/>
      <c r="D22" s="12"/>
      <c r="E22" s="20">
        <f>-(Tabla27[[#This Row],[STOCK ACTUAL]]-Tabla27[[#This Row],[CONSUMO MENSUAL]]*1.15)</f>
        <v>0</v>
      </c>
      <c r="F22" s="12"/>
      <c r="G22" s="11"/>
    </row>
    <row r="23" spans="1:7" ht="15" customHeight="1" x14ac:dyDescent="0.25">
      <c r="A23" s="8" t="s">
        <v>45</v>
      </c>
      <c r="B23" s="8" t="s">
        <v>46</v>
      </c>
      <c r="C23" s="12"/>
      <c r="D23" s="12"/>
      <c r="E23" s="20">
        <f>-(Tabla27[[#This Row],[STOCK ACTUAL]]-Tabla27[[#This Row],[CONSUMO MENSUAL]]*1.15)</f>
        <v>0</v>
      </c>
      <c r="F23" s="12"/>
      <c r="G23" s="11"/>
    </row>
    <row r="24" spans="1:7" ht="15" customHeight="1" x14ac:dyDescent="0.25">
      <c r="A24" s="8" t="s">
        <v>15</v>
      </c>
      <c r="B24" s="8" t="s">
        <v>47</v>
      </c>
      <c r="C24" s="12"/>
      <c r="D24" s="12"/>
      <c r="E24" s="20">
        <f>-(Tabla27[[#This Row],[STOCK ACTUAL]]-Tabla27[[#This Row],[CONSUMO MENSUAL]]*1.15)</f>
        <v>0</v>
      </c>
      <c r="F24" s="12"/>
      <c r="G24" s="11"/>
    </row>
    <row r="25" spans="1:7" ht="15" customHeight="1" x14ac:dyDescent="0.25">
      <c r="A25" s="8" t="s">
        <v>15</v>
      </c>
      <c r="B25" s="8" t="s">
        <v>48</v>
      </c>
      <c r="C25" s="12"/>
      <c r="D25" s="12"/>
      <c r="E25" s="20">
        <f>-(Tabla27[[#This Row],[STOCK ACTUAL]]-Tabla27[[#This Row],[CONSUMO MENSUAL]]*1.15)</f>
        <v>0</v>
      </c>
      <c r="F25" s="12"/>
      <c r="G25" s="11"/>
    </row>
    <row r="26" spans="1:7" ht="15" customHeight="1" x14ac:dyDescent="0.25">
      <c r="A26" s="8" t="s">
        <v>15</v>
      </c>
      <c r="B26" s="8" t="s">
        <v>49</v>
      </c>
      <c r="C26" s="12"/>
      <c r="D26" s="12"/>
      <c r="E26" s="20">
        <f>-(Tabla27[[#This Row],[STOCK ACTUAL]]-Tabla27[[#This Row],[CONSUMO MENSUAL]]*1.15)</f>
        <v>0</v>
      </c>
      <c r="F26" s="12"/>
      <c r="G26" s="11"/>
    </row>
    <row r="27" spans="1:7" ht="15" customHeight="1" x14ac:dyDescent="0.25">
      <c r="A27" s="8" t="s">
        <v>15</v>
      </c>
      <c r="B27" s="8" t="s">
        <v>50</v>
      </c>
      <c r="C27" s="12"/>
      <c r="D27" s="12"/>
      <c r="E27" s="20">
        <f>-(Tabla27[[#This Row],[STOCK ACTUAL]]-Tabla27[[#This Row],[CONSUMO MENSUAL]]*1.15)</f>
        <v>0</v>
      </c>
      <c r="F27" s="12"/>
      <c r="G27" s="11"/>
    </row>
    <row r="28" spans="1:7" ht="15" customHeight="1" x14ac:dyDescent="0.25">
      <c r="A28" s="8" t="s">
        <v>15</v>
      </c>
      <c r="B28" s="8" t="s">
        <v>51</v>
      </c>
      <c r="C28" s="12"/>
      <c r="D28" s="12"/>
      <c r="E28" s="20">
        <f>-(Tabla27[[#This Row],[STOCK ACTUAL]]-Tabla27[[#This Row],[CONSUMO MENSUAL]]*1.15)</f>
        <v>0</v>
      </c>
      <c r="F28" s="12"/>
      <c r="G28" s="11"/>
    </row>
    <row r="29" spans="1:7" ht="15" customHeight="1" x14ac:dyDescent="0.25">
      <c r="A29" s="8" t="s">
        <v>32</v>
      </c>
      <c r="B29" s="8" t="s">
        <v>52</v>
      </c>
      <c r="C29" s="12"/>
      <c r="D29" s="12"/>
      <c r="E29" s="20">
        <f>-(Tabla27[[#This Row],[STOCK ACTUAL]]-Tabla27[[#This Row],[CONSUMO MENSUAL]]*1.15)</f>
        <v>0</v>
      </c>
      <c r="F29" s="12"/>
      <c r="G29" s="11"/>
    </row>
    <row r="30" spans="1:7" ht="15" customHeight="1" x14ac:dyDescent="0.25">
      <c r="A30" s="8" t="s">
        <v>15</v>
      </c>
      <c r="B30" s="8" t="s">
        <v>53</v>
      </c>
      <c r="C30" s="12"/>
      <c r="D30" s="12"/>
      <c r="E30" s="20">
        <f>-(Tabla27[[#This Row],[STOCK ACTUAL]]-Tabla27[[#This Row],[CONSUMO MENSUAL]]*1.15)</f>
        <v>0</v>
      </c>
      <c r="F30" s="12"/>
      <c r="G30" s="11"/>
    </row>
    <row r="31" spans="1:7" ht="15" customHeight="1" x14ac:dyDescent="0.25">
      <c r="A31" s="8" t="s">
        <v>25</v>
      </c>
      <c r="B31" s="8" t="s">
        <v>54</v>
      </c>
      <c r="C31" s="12"/>
      <c r="D31" s="12"/>
      <c r="E31" s="20">
        <f>-(Tabla27[[#This Row],[STOCK ACTUAL]]-Tabla27[[#This Row],[CONSUMO MENSUAL]]*1.15)</f>
        <v>0</v>
      </c>
      <c r="F31" s="12"/>
      <c r="G31" s="11"/>
    </row>
    <row r="32" spans="1:7" ht="15" customHeight="1" x14ac:dyDescent="0.25">
      <c r="A32" s="8" t="s">
        <v>25</v>
      </c>
      <c r="B32" s="8" t="s">
        <v>55</v>
      </c>
      <c r="C32" s="12"/>
      <c r="D32" s="12"/>
      <c r="E32" s="20">
        <f>-(Tabla27[[#This Row],[STOCK ACTUAL]]-Tabla27[[#This Row],[CONSUMO MENSUAL]]*1.15)</f>
        <v>0</v>
      </c>
      <c r="F32" s="12"/>
      <c r="G32" s="11"/>
    </row>
    <row r="33" spans="1:7" ht="15" customHeight="1" x14ac:dyDescent="0.25">
      <c r="A33" s="8" t="s">
        <v>15</v>
      </c>
      <c r="B33" s="8" t="s">
        <v>56</v>
      </c>
      <c r="C33" s="12"/>
      <c r="D33" s="12"/>
      <c r="E33" s="20">
        <f>-(Tabla27[[#This Row],[STOCK ACTUAL]]-Tabla27[[#This Row],[CONSUMO MENSUAL]]*1.15)</f>
        <v>0</v>
      </c>
      <c r="F33" s="12"/>
      <c r="G33" s="11"/>
    </row>
    <row r="34" spans="1:7" ht="15" customHeight="1" x14ac:dyDescent="0.25">
      <c r="A34" s="8" t="s">
        <v>15</v>
      </c>
      <c r="B34" s="8" t="s">
        <v>57</v>
      </c>
      <c r="C34" s="12"/>
      <c r="D34" s="12"/>
      <c r="E34" s="20">
        <f>-(Tabla27[[#This Row],[STOCK ACTUAL]]-Tabla27[[#This Row],[CONSUMO MENSUAL]]*1.15)</f>
        <v>0</v>
      </c>
      <c r="F34" s="12"/>
      <c r="G34" s="11"/>
    </row>
    <row r="35" spans="1:7" ht="15" customHeight="1" x14ac:dyDescent="0.25">
      <c r="A35" s="8" t="s">
        <v>15</v>
      </c>
      <c r="B35" s="8" t="s">
        <v>58</v>
      </c>
      <c r="C35" s="12"/>
      <c r="D35" s="12"/>
      <c r="E35" s="20">
        <f>-(Tabla27[[#This Row],[STOCK ACTUAL]]-Tabla27[[#This Row],[CONSUMO MENSUAL]]*1.15)</f>
        <v>0</v>
      </c>
      <c r="F35" s="12"/>
      <c r="G35" s="11"/>
    </row>
    <row r="36" spans="1:7" ht="15" customHeight="1" x14ac:dyDescent="0.25">
      <c r="A36" s="8" t="s">
        <v>15</v>
      </c>
      <c r="B36" s="8" t="s">
        <v>59</v>
      </c>
      <c r="C36" s="12"/>
      <c r="D36" s="12"/>
      <c r="E36" s="20">
        <f>-(Tabla27[[#This Row],[STOCK ACTUAL]]-Tabla27[[#This Row],[CONSUMO MENSUAL]]*1.15)</f>
        <v>0</v>
      </c>
      <c r="F36" s="12"/>
      <c r="G36" s="11"/>
    </row>
    <row r="37" spans="1:7" ht="15" customHeight="1" x14ac:dyDescent="0.25">
      <c r="A37" s="8" t="s">
        <v>34</v>
      </c>
      <c r="B37" s="8" t="s">
        <v>60</v>
      </c>
      <c r="C37" s="12"/>
      <c r="D37" s="12"/>
      <c r="E37" s="20">
        <f>-(Tabla27[[#This Row],[STOCK ACTUAL]]-Tabla27[[#This Row],[CONSUMO MENSUAL]]*1.15)</f>
        <v>0</v>
      </c>
      <c r="F37" s="12"/>
      <c r="G37" s="11"/>
    </row>
    <row r="38" spans="1:7" ht="15" customHeight="1" x14ac:dyDescent="0.25">
      <c r="A38" s="8" t="s">
        <v>15</v>
      </c>
      <c r="B38" s="8" t="s">
        <v>61</v>
      </c>
      <c r="C38" s="12"/>
      <c r="D38" s="12"/>
      <c r="E38" s="20">
        <f>-(Tabla27[[#This Row],[STOCK ACTUAL]]-Tabla27[[#This Row],[CONSUMO MENSUAL]]*1.15)</f>
        <v>0</v>
      </c>
      <c r="F38" s="12"/>
      <c r="G38" s="11"/>
    </row>
    <row r="39" spans="1:7" ht="15" customHeight="1" x14ac:dyDescent="0.25">
      <c r="A39" s="8" t="s">
        <v>34</v>
      </c>
      <c r="B39" s="8" t="s">
        <v>62</v>
      </c>
      <c r="C39" s="12"/>
      <c r="D39" s="12"/>
      <c r="E39" s="20">
        <f>-(Tabla27[[#This Row],[STOCK ACTUAL]]-Tabla27[[#This Row],[CONSUMO MENSUAL]]*1.15)</f>
        <v>0</v>
      </c>
      <c r="F39" s="12"/>
      <c r="G39" s="11"/>
    </row>
    <row r="40" spans="1:7" ht="15" customHeight="1" x14ac:dyDescent="0.25">
      <c r="A40" s="8" t="s">
        <v>25</v>
      </c>
      <c r="B40" s="8" t="s">
        <v>63</v>
      </c>
      <c r="C40" s="12"/>
      <c r="D40" s="12"/>
      <c r="E40" s="20">
        <f>-(Tabla27[[#This Row],[STOCK ACTUAL]]-Tabla27[[#This Row],[CONSUMO MENSUAL]]*1.15)</f>
        <v>0</v>
      </c>
      <c r="F40" s="12"/>
      <c r="G40" s="11"/>
    </row>
    <row r="41" spans="1:7" ht="15" customHeight="1" x14ac:dyDescent="0.25">
      <c r="A41" s="8" t="s">
        <v>25</v>
      </c>
      <c r="B41" s="8" t="s">
        <v>64</v>
      </c>
      <c r="C41" s="12"/>
      <c r="D41" s="12"/>
      <c r="E41" s="20">
        <f>-(Tabla27[[#This Row],[STOCK ACTUAL]]-Tabla27[[#This Row],[CONSUMO MENSUAL]]*1.15)</f>
        <v>0</v>
      </c>
      <c r="F41" s="12"/>
      <c r="G41" s="11"/>
    </row>
    <row r="42" spans="1:7" ht="15" customHeight="1" x14ac:dyDescent="0.25">
      <c r="A42" s="8" t="s">
        <v>25</v>
      </c>
      <c r="B42" s="8" t="s">
        <v>65</v>
      </c>
      <c r="C42" s="12"/>
      <c r="D42" s="12"/>
      <c r="E42" s="20">
        <f>-(Tabla27[[#This Row],[STOCK ACTUAL]]-Tabla27[[#This Row],[CONSUMO MENSUAL]]*1.15)</f>
        <v>0</v>
      </c>
      <c r="F42" s="12"/>
      <c r="G42" s="11"/>
    </row>
    <row r="43" spans="1:7" ht="15" customHeight="1" x14ac:dyDescent="0.25">
      <c r="A43" s="8" t="s">
        <v>32</v>
      </c>
      <c r="B43" s="8" t="s">
        <v>66</v>
      </c>
      <c r="C43" s="12"/>
      <c r="D43" s="12"/>
      <c r="E43" s="20">
        <f>-(Tabla27[[#This Row],[STOCK ACTUAL]]-Tabla27[[#This Row],[CONSUMO MENSUAL]]*1.15)</f>
        <v>0</v>
      </c>
      <c r="F43" s="12"/>
      <c r="G43" s="11"/>
    </row>
    <row r="44" spans="1:7" ht="15" customHeight="1" x14ac:dyDescent="0.25">
      <c r="A44" s="8" t="s">
        <v>36</v>
      </c>
      <c r="B44" s="8" t="s">
        <v>67</v>
      </c>
      <c r="C44" s="12"/>
      <c r="D44" s="12"/>
      <c r="E44" s="20">
        <f>-(Tabla27[[#This Row],[STOCK ACTUAL]]-Tabla27[[#This Row],[CONSUMO MENSUAL]]*1.15)</f>
        <v>0</v>
      </c>
      <c r="F44" s="12"/>
      <c r="G44" s="11"/>
    </row>
    <row r="45" spans="1:7" ht="15" customHeight="1" x14ac:dyDescent="0.25">
      <c r="A45" s="8" t="s">
        <v>15</v>
      </c>
      <c r="B45" s="8" t="s">
        <v>68</v>
      </c>
      <c r="C45" s="12"/>
      <c r="D45" s="12"/>
      <c r="E45" s="20">
        <f>-(Tabla27[[#This Row],[STOCK ACTUAL]]-Tabla27[[#This Row],[CONSUMO MENSUAL]]*1.15)</f>
        <v>0</v>
      </c>
      <c r="F45" s="12"/>
      <c r="G45" s="11"/>
    </row>
    <row r="46" spans="1:7" ht="15" customHeight="1" x14ac:dyDescent="0.25">
      <c r="A46" s="8" t="s">
        <v>18</v>
      </c>
      <c r="B46" s="8" t="s">
        <v>69</v>
      </c>
      <c r="C46" s="12"/>
      <c r="D46" s="12"/>
      <c r="E46" s="20">
        <f>-(Tabla27[[#This Row],[STOCK ACTUAL]]-Tabla27[[#This Row],[CONSUMO MENSUAL]]*1.15)</f>
        <v>0</v>
      </c>
      <c r="F46" s="12"/>
      <c r="G46" s="11"/>
    </row>
    <row r="47" spans="1:7" ht="15" customHeight="1" x14ac:dyDescent="0.25">
      <c r="A47" s="8" t="s">
        <v>15</v>
      </c>
      <c r="B47" s="8" t="s">
        <v>70</v>
      </c>
      <c r="C47" s="12"/>
      <c r="D47" s="12"/>
      <c r="E47" s="20">
        <f>-(Tabla27[[#This Row],[STOCK ACTUAL]]-Tabla27[[#This Row],[CONSUMO MENSUAL]]*1.15)</f>
        <v>0</v>
      </c>
      <c r="F47" s="12"/>
      <c r="G47" s="11"/>
    </row>
    <row r="48" spans="1:7" ht="15" customHeight="1" x14ac:dyDescent="0.25">
      <c r="A48" s="8" t="s">
        <v>32</v>
      </c>
      <c r="B48" s="8" t="s">
        <v>71</v>
      </c>
      <c r="C48" s="12"/>
      <c r="D48" s="12"/>
      <c r="E48" s="20">
        <f>-(Tabla27[[#This Row],[STOCK ACTUAL]]-Tabla27[[#This Row],[CONSUMO MENSUAL]]*1.15)</f>
        <v>0</v>
      </c>
      <c r="F48" s="12"/>
      <c r="G48" s="11"/>
    </row>
    <row r="49" spans="1:7" ht="15" customHeight="1" x14ac:dyDescent="0.25">
      <c r="A49" s="8" t="s">
        <v>15</v>
      </c>
      <c r="B49" s="8" t="s">
        <v>72</v>
      </c>
      <c r="C49" s="12"/>
      <c r="D49" s="12"/>
      <c r="E49" s="20">
        <f>-(Tabla27[[#This Row],[STOCK ACTUAL]]-Tabla27[[#This Row],[CONSUMO MENSUAL]]*1.15)</f>
        <v>0</v>
      </c>
      <c r="F49" s="12"/>
      <c r="G49" s="11"/>
    </row>
    <row r="50" spans="1:7" ht="15" customHeight="1" x14ac:dyDescent="0.25">
      <c r="A50" s="8" t="s">
        <v>15</v>
      </c>
      <c r="B50" s="8" t="s">
        <v>73</v>
      </c>
      <c r="C50" s="12"/>
      <c r="D50" s="12"/>
      <c r="E50" s="20">
        <f>-(Tabla27[[#This Row],[STOCK ACTUAL]]-Tabla27[[#This Row],[CONSUMO MENSUAL]]*1.15)</f>
        <v>0</v>
      </c>
      <c r="F50" s="12"/>
      <c r="G50" s="11"/>
    </row>
    <row r="51" spans="1:7" ht="15" customHeight="1" x14ac:dyDescent="0.25">
      <c r="A51" s="8" t="s">
        <v>18</v>
      </c>
      <c r="B51" s="8" t="s">
        <v>74</v>
      </c>
      <c r="C51" s="12"/>
      <c r="D51" s="12"/>
      <c r="E51" s="20">
        <f>-(Tabla27[[#This Row],[STOCK ACTUAL]]-Tabla27[[#This Row],[CONSUMO MENSUAL]]*1.15)</f>
        <v>0</v>
      </c>
      <c r="F51" s="12"/>
      <c r="G51" s="11"/>
    </row>
    <row r="52" spans="1:7" ht="15" customHeight="1" x14ac:dyDescent="0.25">
      <c r="A52" s="8" t="s">
        <v>18</v>
      </c>
      <c r="B52" s="8" t="s">
        <v>75</v>
      </c>
      <c r="C52" s="12"/>
      <c r="D52" s="12"/>
      <c r="E52" s="20">
        <f>-(Tabla27[[#This Row],[STOCK ACTUAL]]-Tabla27[[#This Row],[CONSUMO MENSUAL]]*1.15)</f>
        <v>0</v>
      </c>
      <c r="F52" s="12"/>
      <c r="G52" s="11"/>
    </row>
    <row r="53" spans="1:7" ht="15" customHeight="1" x14ac:dyDescent="0.25">
      <c r="A53" s="8" t="s">
        <v>18</v>
      </c>
      <c r="B53" s="8" t="s">
        <v>76</v>
      </c>
      <c r="C53" s="12"/>
      <c r="D53" s="12"/>
      <c r="E53" s="20">
        <f>-(Tabla27[[#This Row],[STOCK ACTUAL]]-Tabla27[[#This Row],[CONSUMO MENSUAL]]*1.15)</f>
        <v>0</v>
      </c>
      <c r="F53" s="12"/>
      <c r="G53" s="11"/>
    </row>
    <row r="54" spans="1:7" ht="15" customHeight="1" x14ac:dyDescent="0.25">
      <c r="A54" s="8" t="s">
        <v>15</v>
      </c>
      <c r="B54" s="8" t="s">
        <v>77</v>
      </c>
      <c r="C54" s="12"/>
      <c r="D54" s="12"/>
      <c r="E54" s="20">
        <f>-(Tabla27[[#This Row],[STOCK ACTUAL]]-Tabla27[[#This Row],[CONSUMO MENSUAL]]*1.15)</f>
        <v>0</v>
      </c>
      <c r="F54" s="12"/>
      <c r="G54" s="11"/>
    </row>
    <row r="55" spans="1:7" ht="15" customHeight="1" x14ac:dyDescent="0.25">
      <c r="A55" s="8" t="s">
        <v>36</v>
      </c>
      <c r="B55" s="8" t="s">
        <v>78</v>
      </c>
      <c r="C55" s="12"/>
      <c r="D55" s="12"/>
      <c r="E55" s="20">
        <f>-(Tabla27[[#This Row],[STOCK ACTUAL]]-Tabla27[[#This Row],[CONSUMO MENSUAL]]*1.15)</f>
        <v>0</v>
      </c>
      <c r="F55" s="12"/>
      <c r="G55" s="11"/>
    </row>
    <row r="56" spans="1:7" ht="15" customHeight="1" x14ac:dyDescent="0.25">
      <c r="A56" s="8" t="s">
        <v>36</v>
      </c>
      <c r="B56" s="8" t="s">
        <v>79</v>
      </c>
      <c r="C56" s="12"/>
      <c r="D56" s="12"/>
      <c r="E56" s="20">
        <f>-(Tabla27[[#This Row],[STOCK ACTUAL]]-Tabla27[[#This Row],[CONSUMO MENSUAL]]*1.15)</f>
        <v>0</v>
      </c>
      <c r="F56" s="12"/>
      <c r="G56" s="11"/>
    </row>
    <row r="57" spans="1:7" ht="15" customHeight="1" x14ac:dyDescent="0.25">
      <c r="A57" s="8" t="s">
        <v>15</v>
      </c>
      <c r="B57" s="8" t="s">
        <v>80</v>
      </c>
      <c r="C57" s="12"/>
      <c r="D57" s="12"/>
      <c r="E57" s="20">
        <f>-(Tabla27[[#This Row],[STOCK ACTUAL]]-Tabla27[[#This Row],[CONSUMO MENSUAL]]*1.15)</f>
        <v>0</v>
      </c>
      <c r="F57" s="12"/>
      <c r="G57" s="11"/>
    </row>
    <row r="58" spans="1:7" ht="15" customHeight="1" x14ac:dyDescent="0.25">
      <c r="A58" s="8" t="s">
        <v>36</v>
      </c>
      <c r="B58" s="8" t="s">
        <v>81</v>
      </c>
      <c r="C58" s="12"/>
      <c r="D58" s="12"/>
      <c r="E58" s="20">
        <f>-(Tabla27[[#This Row],[STOCK ACTUAL]]-Tabla27[[#This Row],[CONSUMO MENSUAL]]*1.15)</f>
        <v>0</v>
      </c>
      <c r="F58" s="12"/>
      <c r="G58" s="11"/>
    </row>
    <row r="59" spans="1:7" ht="15" customHeight="1" x14ac:dyDescent="0.25">
      <c r="A59" s="8" t="s">
        <v>36</v>
      </c>
      <c r="B59" s="8" t="s">
        <v>82</v>
      </c>
      <c r="C59" s="12"/>
      <c r="D59" s="12"/>
      <c r="E59" s="20">
        <f>-(Tabla27[[#This Row],[STOCK ACTUAL]]-Tabla27[[#This Row],[CONSUMO MENSUAL]]*1.15)</f>
        <v>0</v>
      </c>
      <c r="F59" s="12"/>
      <c r="G59" s="11"/>
    </row>
    <row r="60" spans="1:7" ht="15" customHeight="1" x14ac:dyDescent="0.25">
      <c r="A60" s="8" t="s">
        <v>18</v>
      </c>
      <c r="B60" s="8" t="s">
        <v>83</v>
      </c>
      <c r="C60" s="12"/>
      <c r="D60" s="12"/>
      <c r="E60" s="20">
        <f>-(Tabla27[[#This Row],[STOCK ACTUAL]]-Tabla27[[#This Row],[CONSUMO MENSUAL]]*1.15)</f>
        <v>0</v>
      </c>
      <c r="F60" s="12"/>
      <c r="G60" s="11"/>
    </row>
    <row r="61" spans="1:7" ht="15" customHeight="1" x14ac:dyDescent="0.25">
      <c r="A61" s="8" t="s">
        <v>34</v>
      </c>
      <c r="B61" s="8" t="s">
        <v>84</v>
      </c>
      <c r="C61" s="12"/>
      <c r="D61" s="12"/>
      <c r="E61" s="20">
        <f>-(Tabla27[[#This Row],[STOCK ACTUAL]]-Tabla27[[#This Row],[CONSUMO MENSUAL]]*1.15)</f>
        <v>0</v>
      </c>
      <c r="F61" s="12"/>
      <c r="G61" s="11"/>
    </row>
    <row r="62" spans="1:7" ht="15" customHeight="1" x14ac:dyDescent="0.25">
      <c r="A62" s="8" t="s">
        <v>25</v>
      </c>
      <c r="B62" s="8" t="s">
        <v>85</v>
      </c>
      <c r="C62" s="12"/>
      <c r="D62" s="12"/>
      <c r="E62" s="20">
        <f>-(Tabla27[[#This Row],[STOCK ACTUAL]]-Tabla27[[#This Row],[CONSUMO MENSUAL]]*1.15)</f>
        <v>0</v>
      </c>
      <c r="F62" s="12"/>
      <c r="G62" s="11"/>
    </row>
    <row r="63" spans="1:7" ht="15" customHeight="1" x14ac:dyDescent="0.25">
      <c r="A63" s="8" t="s">
        <v>25</v>
      </c>
      <c r="B63" s="8" t="s">
        <v>86</v>
      </c>
      <c r="C63" s="12"/>
      <c r="D63" s="12"/>
      <c r="E63" s="20">
        <f>-(Tabla27[[#This Row],[STOCK ACTUAL]]-Tabla27[[#This Row],[CONSUMO MENSUAL]]*1.15)</f>
        <v>0</v>
      </c>
      <c r="F63" s="12"/>
      <c r="G63" s="11"/>
    </row>
    <row r="64" spans="1:7" ht="15" customHeight="1" x14ac:dyDescent="0.25">
      <c r="A64" s="8" t="s">
        <v>25</v>
      </c>
      <c r="B64" s="8" t="s">
        <v>87</v>
      </c>
      <c r="C64" s="12"/>
      <c r="D64" s="12"/>
      <c r="E64" s="20">
        <f>-(Tabla27[[#This Row],[STOCK ACTUAL]]-Tabla27[[#This Row],[CONSUMO MENSUAL]]*1.15)</f>
        <v>0</v>
      </c>
      <c r="F64" s="12"/>
      <c r="G64" s="11"/>
    </row>
    <row r="65" spans="1:7" ht="15" customHeight="1" x14ac:dyDescent="0.25">
      <c r="A65" s="8" t="s">
        <v>15</v>
      </c>
      <c r="B65" s="8" t="s">
        <v>88</v>
      </c>
      <c r="C65" s="12"/>
      <c r="D65" s="12"/>
      <c r="E65" s="20">
        <f>-(Tabla27[[#This Row],[STOCK ACTUAL]]-Tabla27[[#This Row],[CONSUMO MENSUAL]]*1.15)</f>
        <v>0</v>
      </c>
      <c r="F65" s="12"/>
      <c r="G65" s="11"/>
    </row>
    <row r="66" spans="1:7" ht="15" customHeight="1" x14ac:dyDescent="0.25">
      <c r="A66" s="8" t="s">
        <v>15</v>
      </c>
      <c r="B66" s="8" t="s">
        <v>89</v>
      </c>
      <c r="C66" s="12"/>
      <c r="D66" s="12"/>
      <c r="E66" s="20">
        <f>-(Tabla27[[#This Row],[STOCK ACTUAL]]-Tabla27[[#This Row],[CONSUMO MENSUAL]]*1.15)</f>
        <v>0</v>
      </c>
      <c r="F66" s="12"/>
      <c r="G66" s="11"/>
    </row>
    <row r="67" spans="1:7" ht="15" customHeight="1" x14ac:dyDescent="0.25">
      <c r="A67" s="8" t="s">
        <v>32</v>
      </c>
      <c r="B67" s="8" t="s">
        <v>90</v>
      </c>
      <c r="C67" s="12"/>
      <c r="D67" s="12"/>
      <c r="E67" s="20">
        <f>-(Tabla27[[#This Row],[STOCK ACTUAL]]-Tabla27[[#This Row],[CONSUMO MENSUAL]]*1.15)</f>
        <v>0</v>
      </c>
      <c r="F67" s="12"/>
      <c r="G67" s="11"/>
    </row>
    <row r="68" spans="1:7" ht="15" customHeight="1" x14ac:dyDescent="0.25">
      <c r="A68" s="8" t="s">
        <v>36</v>
      </c>
      <c r="B68" s="8" t="s">
        <v>91</v>
      </c>
      <c r="C68" s="12"/>
      <c r="D68" s="12"/>
      <c r="E68" s="20">
        <f>-(Tabla27[[#This Row],[STOCK ACTUAL]]-Tabla27[[#This Row],[CONSUMO MENSUAL]]*1.15)</f>
        <v>0</v>
      </c>
      <c r="F68" s="12"/>
      <c r="G68" s="11"/>
    </row>
    <row r="69" spans="1:7" ht="15" customHeight="1" x14ac:dyDescent="0.25">
      <c r="A69" s="8" t="s">
        <v>15</v>
      </c>
      <c r="B69" s="8" t="s">
        <v>92</v>
      </c>
      <c r="C69" s="12"/>
      <c r="D69" s="12"/>
      <c r="E69" s="20">
        <f>-(Tabla27[[#This Row],[STOCK ACTUAL]]-Tabla27[[#This Row],[CONSUMO MENSUAL]]*1.15)</f>
        <v>0</v>
      </c>
      <c r="F69" s="12"/>
      <c r="G69" s="11"/>
    </row>
    <row r="70" spans="1:7" ht="15" customHeight="1" x14ac:dyDescent="0.25">
      <c r="A70" s="8" t="s">
        <v>32</v>
      </c>
      <c r="B70" s="8" t="s">
        <v>93</v>
      </c>
      <c r="C70" s="12"/>
      <c r="D70" s="12"/>
      <c r="E70" s="20">
        <f>-(Tabla27[[#This Row],[STOCK ACTUAL]]-Tabla27[[#This Row],[CONSUMO MENSUAL]]*1.15)</f>
        <v>0</v>
      </c>
      <c r="F70" s="12"/>
      <c r="G70" s="11"/>
    </row>
    <row r="71" spans="1:7" ht="15" customHeight="1" x14ac:dyDescent="0.25">
      <c r="A71" s="8" t="s">
        <v>34</v>
      </c>
      <c r="B71" s="8" t="s">
        <v>94</v>
      </c>
      <c r="C71" s="12"/>
      <c r="D71" s="12"/>
      <c r="E71" s="20">
        <f>-(Tabla27[[#This Row],[STOCK ACTUAL]]-Tabla27[[#This Row],[CONSUMO MENSUAL]]*1.15)</f>
        <v>0</v>
      </c>
      <c r="F71" s="12"/>
      <c r="G71" s="11"/>
    </row>
    <row r="72" spans="1:7" ht="15" customHeight="1" x14ac:dyDescent="0.25">
      <c r="A72" s="8" t="s">
        <v>18</v>
      </c>
      <c r="B72" s="8" t="s">
        <v>95</v>
      </c>
      <c r="C72" s="12"/>
      <c r="D72" s="12"/>
      <c r="E72" s="20">
        <f>-(Tabla27[[#This Row],[STOCK ACTUAL]]-Tabla27[[#This Row],[CONSUMO MENSUAL]]*1.15)</f>
        <v>0</v>
      </c>
      <c r="F72" s="12"/>
      <c r="G72" s="11"/>
    </row>
    <row r="73" spans="1:7" ht="15" customHeight="1" x14ac:dyDescent="0.25">
      <c r="A73" s="8" t="s">
        <v>41</v>
      </c>
      <c r="B73" s="8" t="s">
        <v>96</v>
      </c>
      <c r="C73" s="12"/>
      <c r="D73" s="12"/>
      <c r="E73" s="20">
        <f>-(Tabla27[[#This Row],[STOCK ACTUAL]]-Tabla27[[#This Row],[CONSUMO MENSUAL]]*1.15)</f>
        <v>0</v>
      </c>
      <c r="F73" s="12"/>
      <c r="G73" s="11"/>
    </row>
    <row r="74" spans="1:7" ht="15" customHeight="1" x14ac:dyDescent="0.25">
      <c r="A74" s="8" t="s">
        <v>15</v>
      </c>
      <c r="B74" s="8" t="s">
        <v>97</v>
      </c>
      <c r="C74" s="12"/>
      <c r="D74" s="12"/>
      <c r="E74" s="20">
        <f>-(Tabla27[[#This Row],[STOCK ACTUAL]]-Tabla27[[#This Row],[CONSUMO MENSUAL]]*1.15)</f>
        <v>0</v>
      </c>
      <c r="F74" s="12"/>
      <c r="G74" s="11"/>
    </row>
    <row r="75" spans="1:7" ht="15" customHeight="1" x14ac:dyDescent="0.25">
      <c r="A75" s="8" t="s">
        <v>15</v>
      </c>
      <c r="B75" s="8" t="s">
        <v>98</v>
      </c>
      <c r="C75" s="12"/>
      <c r="D75" s="12"/>
      <c r="E75" s="20">
        <f>-(Tabla27[[#This Row],[STOCK ACTUAL]]-Tabla27[[#This Row],[CONSUMO MENSUAL]]*1.15)</f>
        <v>0</v>
      </c>
      <c r="F75" s="12"/>
      <c r="G75" s="11"/>
    </row>
    <row r="76" spans="1:7" ht="15" customHeight="1" x14ac:dyDescent="0.25">
      <c r="A76" s="8" t="s">
        <v>15</v>
      </c>
      <c r="B76" s="8" t="s">
        <v>99</v>
      </c>
      <c r="C76" s="12"/>
      <c r="D76" s="12"/>
      <c r="E76" s="20">
        <f>-(Tabla27[[#This Row],[STOCK ACTUAL]]-Tabla27[[#This Row],[CONSUMO MENSUAL]]*1.15)</f>
        <v>0</v>
      </c>
      <c r="F76" s="12"/>
      <c r="G76" s="11"/>
    </row>
    <row r="77" spans="1:7" ht="15" customHeight="1" x14ac:dyDescent="0.25">
      <c r="A77" s="8" t="s">
        <v>15</v>
      </c>
      <c r="B77" s="8" t="s">
        <v>100</v>
      </c>
      <c r="C77" s="12"/>
      <c r="D77" s="12"/>
      <c r="E77" s="20">
        <f>-(Tabla27[[#This Row],[STOCK ACTUAL]]-Tabla27[[#This Row],[CONSUMO MENSUAL]]*1.15)</f>
        <v>0</v>
      </c>
      <c r="F77" s="12"/>
      <c r="G77" s="11"/>
    </row>
    <row r="78" spans="1:7" ht="15" customHeight="1" x14ac:dyDescent="0.25">
      <c r="A78" s="8" t="s">
        <v>15</v>
      </c>
      <c r="B78" s="8" t="s">
        <v>101</v>
      </c>
      <c r="C78" s="12"/>
      <c r="D78" s="12"/>
      <c r="E78" s="20">
        <f>-(Tabla27[[#This Row],[STOCK ACTUAL]]-Tabla27[[#This Row],[CONSUMO MENSUAL]]*1.15)</f>
        <v>0</v>
      </c>
      <c r="F78" s="12"/>
      <c r="G78" s="11"/>
    </row>
    <row r="79" spans="1:7" ht="15" customHeight="1" x14ac:dyDescent="0.25">
      <c r="A79" s="8" t="s">
        <v>41</v>
      </c>
      <c r="B79" s="8" t="s">
        <v>102</v>
      </c>
      <c r="C79" s="12"/>
      <c r="D79" s="12"/>
      <c r="E79" s="20">
        <f>-(Tabla27[[#This Row],[STOCK ACTUAL]]-Tabla27[[#This Row],[CONSUMO MENSUAL]]*1.15)</f>
        <v>0</v>
      </c>
      <c r="F79" s="12"/>
      <c r="G79" s="11"/>
    </row>
    <row r="80" spans="1:7" ht="15" customHeight="1" x14ac:dyDescent="0.25">
      <c r="A80" s="8" t="s">
        <v>36</v>
      </c>
      <c r="B80" s="8" t="s">
        <v>103</v>
      </c>
      <c r="C80" s="12"/>
      <c r="D80" s="12"/>
      <c r="E80" s="20">
        <f>-(Tabla27[[#This Row],[STOCK ACTUAL]]-Tabla27[[#This Row],[CONSUMO MENSUAL]]*1.15)</f>
        <v>0</v>
      </c>
      <c r="F80" s="12"/>
      <c r="G80" s="11"/>
    </row>
    <row r="81" spans="1:7" ht="15" customHeight="1" x14ac:dyDescent="0.25">
      <c r="A81" s="8" t="s">
        <v>34</v>
      </c>
      <c r="B81" s="8" t="s">
        <v>104</v>
      </c>
      <c r="C81" s="12"/>
      <c r="D81" s="12"/>
      <c r="E81" s="20">
        <f>-(Tabla27[[#This Row],[STOCK ACTUAL]]-Tabla27[[#This Row],[CONSUMO MENSUAL]]*1.15)</f>
        <v>0</v>
      </c>
      <c r="F81" s="12"/>
      <c r="G81" s="11"/>
    </row>
    <row r="82" spans="1:7" ht="15" customHeight="1" x14ac:dyDescent="0.25">
      <c r="A82" s="8" t="s">
        <v>15</v>
      </c>
      <c r="B82" s="8" t="s">
        <v>105</v>
      </c>
      <c r="C82" s="12"/>
      <c r="D82" s="12"/>
      <c r="E82" s="20">
        <f>-(Tabla27[[#This Row],[STOCK ACTUAL]]-Tabla27[[#This Row],[CONSUMO MENSUAL]]*1.15)</f>
        <v>0</v>
      </c>
      <c r="F82" s="12"/>
      <c r="G82" s="11"/>
    </row>
    <row r="83" spans="1:7" ht="15" customHeight="1" x14ac:dyDescent="0.25">
      <c r="A83" s="8" t="s">
        <v>15</v>
      </c>
      <c r="B83" s="8" t="s">
        <v>106</v>
      </c>
      <c r="C83" s="12"/>
      <c r="D83" s="12"/>
      <c r="E83" s="20">
        <f>-(Tabla27[[#This Row],[STOCK ACTUAL]]-Tabla27[[#This Row],[CONSUMO MENSUAL]]*1.15)</f>
        <v>0</v>
      </c>
      <c r="F83" s="12"/>
      <c r="G83" s="11"/>
    </row>
    <row r="84" spans="1:7" ht="15" customHeight="1" x14ac:dyDescent="0.25">
      <c r="A84" s="8" t="s">
        <v>15</v>
      </c>
      <c r="B84" s="8" t="s">
        <v>107</v>
      </c>
      <c r="C84" s="12"/>
      <c r="D84" s="12"/>
      <c r="E84" s="20">
        <f>-(Tabla27[[#This Row],[STOCK ACTUAL]]-Tabla27[[#This Row],[CONSUMO MENSUAL]]*1.15)</f>
        <v>0</v>
      </c>
      <c r="F84" s="12"/>
      <c r="G84" s="11"/>
    </row>
    <row r="85" spans="1:7" ht="15" customHeight="1" x14ac:dyDescent="0.25">
      <c r="A85" s="8" t="s">
        <v>15</v>
      </c>
      <c r="B85" s="8" t="s">
        <v>108</v>
      </c>
      <c r="C85" s="12"/>
      <c r="D85" s="12"/>
      <c r="E85" s="20">
        <f>-(Tabla27[[#This Row],[STOCK ACTUAL]]-Tabla27[[#This Row],[CONSUMO MENSUAL]]*1.15)</f>
        <v>0</v>
      </c>
      <c r="F85" s="12"/>
      <c r="G85" s="11"/>
    </row>
    <row r="86" spans="1:7" ht="15" customHeight="1" x14ac:dyDescent="0.25">
      <c r="A86" s="8" t="s">
        <v>32</v>
      </c>
      <c r="B86" s="8" t="s">
        <v>109</v>
      </c>
      <c r="C86" s="12"/>
      <c r="D86" s="12"/>
      <c r="E86" s="20">
        <f>-(Tabla27[[#This Row],[STOCK ACTUAL]]-Tabla27[[#This Row],[CONSUMO MENSUAL]]*1.15)</f>
        <v>0</v>
      </c>
      <c r="F86" s="12"/>
      <c r="G86" s="11"/>
    </row>
    <row r="87" spans="1:7" ht="15" customHeight="1" x14ac:dyDescent="0.25">
      <c r="A87" s="8" t="s">
        <v>15</v>
      </c>
      <c r="B87" s="8" t="s">
        <v>110</v>
      </c>
      <c r="C87" s="12"/>
      <c r="D87" s="12"/>
      <c r="E87" s="20">
        <f>-(Tabla27[[#This Row],[STOCK ACTUAL]]-Tabla27[[#This Row],[CONSUMO MENSUAL]]*1.15)</f>
        <v>0</v>
      </c>
      <c r="F87" s="12"/>
      <c r="G87" s="11"/>
    </row>
    <row r="88" spans="1:7" ht="15" customHeight="1" x14ac:dyDescent="0.25">
      <c r="A88" s="8" t="s">
        <v>32</v>
      </c>
      <c r="B88" s="8" t="s">
        <v>111</v>
      </c>
      <c r="C88" s="12"/>
      <c r="D88" s="12"/>
      <c r="E88" s="20">
        <f>-(Tabla27[[#This Row],[STOCK ACTUAL]]-Tabla27[[#This Row],[CONSUMO MENSUAL]]*1.15)</f>
        <v>0</v>
      </c>
      <c r="F88" s="12"/>
      <c r="G88" s="11"/>
    </row>
    <row r="89" spans="1:7" ht="15" customHeight="1" x14ac:dyDescent="0.25">
      <c r="A89" s="8" t="s">
        <v>15</v>
      </c>
      <c r="B89" s="8" t="s">
        <v>112</v>
      </c>
      <c r="C89" s="12"/>
      <c r="D89" s="12"/>
      <c r="E89" s="20">
        <f>-(Tabla27[[#This Row],[STOCK ACTUAL]]-Tabla27[[#This Row],[CONSUMO MENSUAL]]*1.15)</f>
        <v>0</v>
      </c>
      <c r="F89" s="12"/>
      <c r="G89" s="11"/>
    </row>
    <row r="90" spans="1:7" ht="15" customHeight="1" x14ac:dyDescent="0.25">
      <c r="A90" s="8" t="s">
        <v>15</v>
      </c>
      <c r="B90" s="8" t="s">
        <v>113</v>
      </c>
      <c r="C90" s="12"/>
      <c r="D90" s="12"/>
      <c r="E90" s="20">
        <f>-(Tabla27[[#This Row],[STOCK ACTUAL]]-Tabla27[[#This Row],[CONSUMO MENSUAL]]*1.15)</f>
        <v>0</v>
      </c>
      <c r="F90" s="12"/>
      <c r="G90" s="11"/>
    </row>
    <row r="91" spans="1:7" ht="15" customHeight="1" x14ac:dyDescent="0.25">
      <c r="A91" s="8" t="s">
        <v>15</v>
      </c>
      <c r="B91" s="8" t="s">
        <v>114</v>
      </c>
      <c r="C91" s="12"/>
      <c r="D91" s="12"/>
      <c r="E91" s="20">
        <f>-(Tabla27[[#This Row],[STOCK ACTUAL]]-Tabla27[[#This Row],[CONSUMO MENSUAL]]*1.15)</f>
        <v>0</v>
      </c>
      <c r="F91" s="12"/>
      <c r="G91" s="11"/>
    </row>
    <row r="92" spans="1:7" ht="15" customHeight="1" x14ac:dyDescent="0.25">
      <c r="A92" s="8" t="s">
        <v>34</v>
      </c>
      <c r="B92" s="8" t="s">
        <v>115</v>
      </c>
      <c r="C92" s="12"/>
      <c r="D92" s="12"/>
      <c r="E92" s="20">
        <f>-(Tabla27[[#This Row],[STOCK ACTUAL]]-Tabla27[[#This Row],[CONSUMO MENSUAL]]*1.15)</f>
        <v>0</v>
      </c>
      <c r="F92" s="12"/>
      <c r="G92" s="11"/>
    </row>
    <row r="93" spans="1:7" ht="15" customHeight="1" x14ac:dyDescent="0.25">
      <c r="A93" s="8" t="s">
        <v>15</v>
      </c>
      <c r="B93" s="8" t="s">
        <v>116</v>
      </c>
      <c r="C93" s="12"/>
      <c r="D93" s="12"/>
      <c r="E93" s="20">
        <f>-(Tabla27[[#This Row],[STOCK ACTUAL]]-Tabla27[[#This Row],[CONSUMO MENSUAL]]*1.15)</f>
        <v>0</v>
      </c>
      <c r="F93" s="12"/>
      <c r="G93" s="11"/>
    </row>
    <row r="94" spans="1:7" ht="15" customHeight="1" x14ac:dyDescent="0.25">
      <c r="A94" s="8" t="s">
        <v>15</v>
      </c>
      <c r="B94" s="8" t="s">
        <v>117</v>
      </c>
      <c r="C94" s="12"/>
      <c r="D94" s="12"/>
      <c r="E94" s="20">
        <f>-(Tabla27[[#This Row],[STOCK ACTUAL]]-Tabla27[[#This Row],[CONSUMO MENSUAL]]*1.15)</f>
        <v>0</v>
      </c>
      <c r="F94" s="12"/>
      <c r="G94" s="11"/>
    </row>
    <row r="95" spans="1:7" ht="15" customHeight="1" x14ac:dyDescent="0.25">
      <c r="A95" s="8" t="s">
        <v>41</v>
      </c>
      <c r="B95" s="8" t="s">
        <v>118</v>
      </c>
      <c r="C95" s="12"/>
      <c r="D95" s="12"/>
      <c r="E95" s="20">
        <f>-(Tabla27[[#This Row],[STOCK ACTUAL]]-Tabla27[[#This Row],[CONSUMO MENSUAL]]*1.15)</f>
        <v>0</v>
      </c>
      <c r="F95" s="12"/>
      <c r="G95" s="11"/>
    </row>
    <row r="96" spans="1:7" ht="15" customHeight="1" x14ac:dyDescent="0.25">
      <c r="A96" s="8" t="s">
        <v>36</v>
      </c>
      <c r="B96" s="8" t="s">
        <v>119</v>
      </c>
      <c r="C96" s="12"/>
      <c r="D96" s="12"/>
      <c r="E96" s="20">
        <f>-(Tabla27[[#This Row],[STOCK ACTUAL]]-Tabla27[[#This Row],[CONSUMO MENSUAL]]*1.15)</f>
        <v>0</v>
      </c>
      <c r="F96" s="12"/>
      <c r="G96" s="11"/>
    </row>
    <row r="97" spans="1:7" ht="15" customHeight="1" x14ac:dyDescent="0.25">
      <c r="A97" s="8" t="s">
        <v>36</v>
      </c>
      <c r="B97" s="8" t="s">
        <v>120</v>
      </c>
      <c r="C97" s="12"/>
      <c r="D97" s="12"/>
      <c r="E97" s="20">
        <f>-(Tabla27[[#This Row],[STOCK ACTUAL]]-Tabla27[[#This Row],[CONSUMO MENSUAL]]*1.15)</f>
        <v>0</v>
      </c>
      <c r="F97" s="12"/>
      <c r="G97" s="11"/>
    </row>
    <row r="98" spans="1:7" ht="15" customHeight="1" x14ac:dyDescent="0.25">
      <c r="A98" s="8" t="s">
        <v>15</v>
      </c>
      <c r="B98" s="8" t="s">
        <v>121</v>
      </c>
      <c r="C98" s="12"/>
      <c r="D98" s="12"/>
      <c r="E98" s="20">
        <f>-(Tabla27[[#This Row],[STOCK ACTUAL]]-Tabla27[[#This Row],[CONSUMO MENSUAL]]*1.15)</f>
        <v>0</v>
      </c>
      <c r="F98" s="12"/>
      <c r="G98" s="11"/>
    </row>
    <row r="99" spans="1:7" ht="15" customHeight="1" x14ac:dyDescent="0.25">
      <c r="A99" s="8" t="s">
        <v>32</v>
      </c>
      <c r="B99" s="8" t="s">
        <v>122</v>
      </c>
      <c r="C99" s="12"/>
      <c r="D99" s="12"/>
      <c r="E99" s="20">
        <f>-(Tabla27[[#This Row],[STOCK ACTUAL]]-Tabla27[[#This Row],[CONSUMO MENSUAL]]*1.15)</f>
        <v>0</v>
      </c>
      <c r="F99" s="12"/>
      <c r="G99" s="11"/>
    </row>
    <row r="100" spans="1:7" ht="15" customHeight="1" x14ac:dyDescent="0.25">
      <c r="A100" s="8" t="s">
        <v>15</v>
      </c>
      <c r="B100" s="8" t="s">
        <v>123</v>
      </c>
      <c r="C100" s="12"/>
      <c r="D100" s="12"/>
      <c r="E100" s="20">
        <f>-(Tabla27[[#This Row],[STOCK ACTUAL]]-Tabla27[[#This Row],[CONSUMO MENSUAL]]*1.15)</f>
        <v>0</v>
      </c>
      <c r="F100" s="12"/>
      <c r="G100" s="11"/>
    </row>
    <row r="101" spans="1:7" ht="15" customHeight="1" x14ac:dyDescent="0.25">
      <c r="A101" s="8" t="s">
        <v>32</v>
      </c>
      <c r="B101" s="8" t="s">
        <v>124</v>
      </c>
      <c r="C101" s="12"/>
      <c r="D101" s="12"/>
      <c r="E101" s="20">
        <f>-(Tabla27[[#This Row],[STOCK ACTUAL]]-Tabla27[[#This Row],[CONSUMO MENSUAL]]*1.15)</f>
        <v>0</v>
      </c>
      <c r="F101" s="12"/>
      <c r="G101" s="11"/>
    </row>
    <row r="102" spans="1:7" ht="15" customHeight="1" x14ac:dyDescent="0.25">
      <c r="A102" s="8" t="s">
        <v>15</v>
      </c>
      <c r="B102" s="8" t="s">
        <v>125</v>
      </c>
      <c r="C102" s="12"/>
      <c r="D102" s="12"/>
      <c r="E102" s="20">
        <f>-(Tabla27[[#This Row],[STOCK ACTUAL]]-Tabla27[[#This Row],[CONSUMO MENSUAL]]*1.15)</f>
        <v>0</v>
      </c>
      <c r="F102" s="12"/>
      <c r="G102" s="11"/>
    </row>
    <row r="103" spans="1:7" ht="15" customHeight="1" x14ac:dyDescent="0.25">
      <c r="A103" s="8" t="s">
        <v>15</v>
      </c>
      <c r="B103" s="8" t="s">
        <v>126</v>
      </c>
      <c r="C103" s="12"/>
      <c r="D103" s="12"/>
      <c r="E103" s="20">
        <f>-(Tabla27[[#This Row],[STOCK ACTUAL]]-Tabla27[[#This Row],[CONSUMO MENSUAL]]*1.15)</f>
        <v>0</v>
      </c>
      <c r="F103" s="12"/>
      <c r="G103" s="11"/>
    </row>
    <row r="104" spans="1:7" ht="15" customHeight="1" x14ac:dyDescent="0.25">
      <c r="A104" s="8" t="s">
        <v>15</v>
      </c>
      <c r="B104" s="8" t="s">
        <v>127</v>
      </c>
      <c r="C104" s="12"/>
      <c r="D104" s="12"/>
      <c r="E104" s="20">
        <f>-(Tabla27[[#This Row],[STOCK ACTUAL]]-Tabla27[[#This Row],[CONSUMO MENSUAL]]*1.15)</f>
        <v>0</v>
      </c>
      <c r="F104" s="12"/>
      <c r="G104" s="11"/>
    </row>
    <row r="105" spans="1:7" ht="15" customHeight="1" x14ac:dyDescent="0.25">
      <c r="A105" s="8" t="s">
        <v>15</v>
      </c>
      <c r="B105" s="8" t="s">
        <v>128</v>
      </c>
      <c r="C105" s="12"/>
      <c r="D105" s="12"/>
      <c r="E105" s="20">
        <f>-(Tabla27[[#This Row],[STOCK ACTUAL]]-Tabla27[[#This Row],[CONSUMO MENSUAL]]*1.15)</f>
        <v>0</v>
      </c>
      <c r="F105" s="12"/>
      <c r="G105" s="11"/>
    </row>
    <row r="106" spans="1:7" ht="15" customHeight="1" x14ac:dyDescent="0.25">
      <c r="A106" s="8" t="s">
        <v>15</v>
      </c>
      <c r="B106" s="8" t="s">
        <v>129</v>
      </c>
      <c r="C106" s="12"/>
      <c r="D106" s="12"/>
      <c r="E106" s="20">
        <f>-(Tabla27[[#This Row],[STOCK ACTUAL]]-Tabla27[[#This Row],[CONSUMO MENSUAL]]*1.15)</f>
        <v>0</v>
      </c>
      <c r="F106" s="12"/>
      <c r="G106" s="11"/>
    </row>
    <row r="107" spans="1:7" ht="15" customHeight="1" x14ac:dyDescent="0.25">
      <c r="A107" s="8" t="s">
        <v>34</v>
      </c>
      <c r="B107" s="8" t="s">
        <v>130</v>
      </c>
      <c r="C107" s="12"/>
      <c r="D107" s="12"/>
      <c r="E107" s="20">
        <f>-(Tabla27[[#This Row],[STOCK ACTUAL]]-Tabla27[[#This Row],[CONSUMO MENSUAL]]*1.15)</f>
        <v>0</v>
      </c>
      <c r="F107" s="12"/>
      <c r="G107" s="11"/>
    </row>
    <row r="108" spans="1:7" ht="15" customHeight="1" x14ac:dyDescent="0.25">
      <c r="A108" s="8" t="s">
        <v>32</v>
      </c>
      <c r="B108" s="8" t="s">
        <v>131</v>
      </c>
      <c r="C108" s="12"/>
      <c r="D108" s="12"/>
      <c r="E108" s="20">
        <f>-(Tabla27[[#This Row],[STOCK ACTUAL]]-Tabla27[[#This Row],[CONSUMO MENSUAL]]*1.15)</f>
        <v>0</v>
      </c>
      <c r="F108" s="12"/>
      <c r="G108" s="11"/>
    </row>
    <row r="109" spans="1:7" ht="15" customHeight="1" x14ac:dyDescent="0.25">
      <c r="A109" s="8" t="s">
        <v>18</v>
      </c>
      <c r="B109" s="8" t="s">
        <v>132</v>
      </c>
      <c r="C109" s="12"/>
      <c r="D109" s="12"/>
      <c r="E109" s="20">
        <f>-(Tabla27[[#This Row],[STOCK ACTUAL]]-Tabla27[[#This Row],[CONSUMO MENSUAL]]*1.15)</f>
        <v>0</v>
      </c>
      <c r="F109" s="12"/>
      <c r="G109" s="11"/>
    </row>
    <row r="110" spans="1:7" ht="15" customHeight="1" x14ac:dyDescent="0.25">
      <c r="A110" s="8" t="s">
        <v>18</v>
      </c>
      <c r="B110" s="8" t="s">
        <v>133</v>
      </c>
      <c r="C110" s="12"/>
      <c r="D110" s="12"/>
      <c r="E110" s="20">
        <f>-(Tabla27[[#This Row],[STOCK ACTUAL]]-Tabla27[[#This Row],[CONSUMO MENSUAL]]*1.15)</f>
        <v>0</v>
      </c>
      <c r="F110" s="12"/>
      <c r="G110" s="11"/>
    </row>
    <row r="111" spans="1:7" ht="15" customHeight="1" x14ac:dyDescent="0.25">
      <c r="A111" s="8" t="s">
        <v>41</v>
      </c>
      <c r="B111" s="8" t="s">
        <v>134</v>
      </c>
      <c r="C111" s="12"/>
      <c r="D111" s="12"/>
      <c r="E111" s="20">
        <f>-(Tabla27[[#This Row],[STOCK ACTUAL]]-Tabla27[[#This Row],[CONSUMO MENSUAL]]*1.15)</f>
        <v>0</v>
      </c>
      <c r="F111" s="12"/>
      <c r="G111" s="11"/>
    </row>
    <row r="112" spans="1:7" ht="15" customHeight="1" x14ac:dyDescent="0.25">
      <c r="A112" s="8" t="s">
        <v>15</v>
      </c>
      <c r="B112" s="8" t="s">
        <v>135</v>
      </c>
      <c r="C112" s="12"/>
      <c r="D112" s="12"/>
      <c r="E112" s="20">
        <f>-(Tabla27[[#This Row],[STOCK ACTUAL]]-Tabla27[[#This Row],[CONSUMO MENSUAL]]*1.15)</f>
        <v>0</v>
      </c>
      <c r="F112" s="12"/>
      <c r="G112" s="11"/>
    </row>
    <row r="113" spans="1:7" ht="15" customHeight="1" x14ac:dyDescent="0.25">
      <c r="A113" s="8" t="s">
        <v>15</v>
      </c>
      <c r="B113" s="8" t="s">
        <v>136</v>
      </c>
      <c r="C113" s="12"/>
      <c r="D113" s="12"/>
      <c r="E113" s="20">
        <f>-(Tabla27[[#This Row],[STOCK ACTUAL]]-Tabla27[[#This Row],[CONSUMO MENSUAL]]*1.15)</f>
        <v>0</v>
      </c>
      <c r="F113" s="12"/>
      <c r="G113" s="11"/>
    </row>
    <row r="114" spans="1:7" ht="15" customHeight="1" x14ac:dyDescent="0.25">
      <c r="A114" s="8" t="s">
        <v>25</v>
      </c>
      <c r="B114" s="8" t="s">
        <v>137</v>
      </c>
      <c r="C114" s="12"/>
      <c r="D114" s="12"/>
      <c r="E114" s="20">
        <f>-(Tabla27[[#This Row],[STOCK ACTUAL]]-Tabla27[[#This Row],[CONSUMO MENSUAL]]*1.15)</f>
        <v>0</v>
      </c>
      <c r="F114" s="12"/>
      <c r="G114" s="11"/>
    </row>
    <row r="115" spans="1:7" ht="15" customHeight="1" x14ac:dyDescent="0.25">
      <c r="A115" s="8" t="s">
        <v>15</v>
      </c>
      <c r="B115" s="8" t="s">
        <v>138</v>
      </c>
      <c r="C115" s="12"/>
      <c r="D115" s="12"/>
      <c r="E115" s="20">
        <f>-(Tabla27[[#This Row],[STOCK ACTUAL]]-Tabla27[[#This Row],[CONSUMO MENSUAL]]*1.15)</f>
        <v>0</v>
      </c>
      <c r="F115" s="12"/>
      <c r="G115" s="11"/>
    </row>
    <row r="116" spans="1:7" ht="15" customHeight="1" x14ac:dyDescent="0.25">
      <c r="A116" s="8" t="s">
        <v>32</v>
      </c>
      <c r="B116" s="8" t="s">
        <v>139</v>
      </c>
      <c r="C116" s="12"/>
      <c r="D116" s="12"/>
      <c r="E116" s="20">
        <f>-(Tabla27[[#This Row],[STOCK ACTUAL]]-Tabla27[[#This Row],[CONSUMO MENSUAL]]*1.15)</f>
        <v>0</v>
      </c>
      <c r="F116" s="12"/>
      <c r="G116" s="11"/>
    </row>
    <row r="117" spans="1:7" ht="15" customHeight="1" x14ac:dyDescent="0.25">
      <c r="A117" s="8" t="s">
        <v>15</v>
      </c>
      <c r="B117" s="8" t="s">
        <v>140</v>
      </c>
      <c r="C117" s="12"/>
      <c r="D117" s="12"/>
      <c r="E117" s="20">
        <f>-(Tabla27[[#This Row],[STOCK ACTUAL]]-Tabla27[[#This Row],[CONSUMO MENSUAL]]*1.15)</f>
        <v>0</v>
      </c>
      <c r="F117" s="12"/>
      <c r="G117" s="11"/>
    </row>
    <row r="118" spans="1:7" ht="15" customHeight="1" x14ac:dyDescent="0.25">
      <c r="A118" s="8" t="s">
        <v>15</v>
      </c>
      <c r="B118" s="8" t="s">
        <v>141</v>
      </c>
      <c r="C118" s="12"/>
      <c r="D118" s="12"/>
      <c r="E118" s="20">
        <f>-(Tabla27[[#This Row],[STOCK ACTUAL]]-Tabla27[[#This Row],[CONSUMO MENSUAL]]*1.15)</f>
        <v>0</v>
      </c>
      <c r="F118" s="12"/>
      <c r="G118" s="11"/>
    </row>
    <row r="119" spans="1:7" ht="15" customHeight="1" x14ac:dyDescent="0.25">
      <c r="A119" s="8" t="s">
        <v>25</v>
      </c>
      <c r="B119" s="8" t="s">
        <v>142</v>
      </c>
      <c r="C119" s="12"/>
      <c r="D119" s="12"/>
      <c r="E119" s="20">
        <f>-(Tabla27[[#This Row],[STOCK ACTUAL]]-Tabla27[[#This Row],[CONSUMO MENSUAL]]*1.15)</f>
        <v>0</v>
      </c>
      <c r="F119" s="12"/>
      <c r="G119" s="11"/>
    </row>
    <row r="120" spans="1:7" ht="15" customHeight="1" x14ac:dyDescent="0.25">
      <c r="A120" s="8" t="s">
        <v>15</v>
      </c>
      <c r="B120" s="8" t="s">
        <v>143</v>
      </c>
      <c r="C120" s="12"/>
      <c r="D120" s="12"/>
      <c r="E120" s="20">
        <f>-(Tabla27[[#This Row],[STOCK ACTUAL]]-Tabla27[[#This Row],[CONSUMO MENSUAL]]*1.15)</f>
        <v>0</v>
      </c>
      <c r="F120" s="12"/>
      <c r="G120" s="11"/>
    </row>
    <row r="121" spans="1:7" ht="15" customHeight="1" x14ac:dyDescent="0.25">
      <c r="A121" s="8" t="s">
        <v>34</v>
      </c>
      <c r="B121" s="8" t="s">
        <v>144</v>
      </c>
      <c r="C121" s="12"/>
      <c r="D121" s="12"/>
      <c r="E121" s="20">
        <f>-(Tabla27[[#This Row],[STOCK ACTUAL]]-Tabla27[[#This Row],[CONSUMO MENSUAL]]*1.15)</f>
        <v>0</v>
      </c>
      <c r="F121" s="12"/>
      <c r="G121" s="11"/>
    </row>
    <row r="122" spans="1:7" ht="15" customHeight="1" x14ac:dyDescent="0.25">
      <c r="A122" s="8" t="s">
        <v>36</v>
      </c>
      <c r="B122" s="8" t="s">
        <v>145</v>
      </c>
      <c r="C122" s="12"/>
      <c r="D122" s="12"/>
      <c r="E122" s="20">
        <f>-(Tabla27[[#This Row],[STOCK ACTUAL]]-Tabla27[[#This Row],[CONSUMO MENSUAL]]*1.15)</f>
        <v>0</v>
      </c>
      <c r="F122" s="12"/>
      <c r="G122" s="11"/>
    </row>
    <row r="123" spans="1:7" ht="15" customHeight="1" x14ac:dyDescent="0.25">
      <c r="A123" s="8" t="s">
        <v>36</v>
      </c>
      <c r="B123" s="8" t="s">
        <v>146</v>
      </c>
      <c r="C123" s="12"/>
      <c r="D123" s="12"/>
      <c r="E123" s="20">
        <f>-(Tabla27[[#This Row],[STOCK ACTUAL]]-Tabla27[[#This Row],[CONSUMO MENSUAL]]*1.15)</f>
        <v>0</v>
      </c>
      <c r="F123" s="12"/>
      <c r="G123" s="11"/>
    </row>
    <row r="124" spans="1:7" ht="15" customHeight="1" x14ac:dyDescent="0.25">
      <c r="A124" s="8" t="s">
        <v>15</v>
      </c>
      <c r="B124" s="8" t="s">
        <v>147</v>
      </c>
      <c r="C124" s="12"/>
      <c r="D124" s="12"/>
      <c r="E124" s="20">
        <f>-(Tabla27[[#This Row],[STOCK ACTUAL]]-Tabla27[[#This Row],[CONSUMO MENSUAL]]*1.15)</f>
        <v>0</v>
      </c>
      <c r="F124" s="12"/>
      <c r="G124" s="11"/>
    </row>
    <row r="125" spans="1:7" ht="15" customHeight="1" x14ac:dyDescent="0.25">
      <c r="A125" s="8" t="s">
        <v>32</v>
      </c>
      <c r="B125" s="8" t="s">
        <v>148</v>
      </c>
      <c r="C125" s="12"/>
      <c r="D125" s="12"/>
      <c r="E125" s="20">
        <f>-(Tabla27[[#This Row],[STOCK ACTUAL]]-Tabla27[[#This Row],[CONSUMO MENSUAL]]*1.15)</f>
        <v>0</v>
      </c>
      <c r="F125" s="12"/>
      <c r="G125" s="11"/>
    </row>
    <row r="126" spans="1:7" ht="15" customHeight="1" x14ac:dyDescent="0.25">
      <c r="A126" s="8" t="s">
        <v>36</v>
      </c>
      <c r="B126" s="8" t="s">
        <v>149</v>
      </c>
      <c r="C126" s="12"/>
      <c r="D126" s="12"/>
      <c r="E126" s="20">
        <f>-(Tabla27[[#This Row],[STOCK ACTUAL]]-Tabla27[[#This Row],[CONSUMO MENSUAL]]*1.15)</f>
        <v>0</v>
      </c>
      <c r="F126" s="12"/>
      <c r="G126" s="11"/>
    </row>
    <row r="127" spans="1:7" ht="15" customHeight="1" x14ac:dyDescent="0.25">
      <c r="A127" s="8" t="s">
        <v>36</v>
      </c>
      <c r="B127" s="8" t="s">
        <v>150</v>
      </c>
      <c r="C127" s="12"/>
      <c r="D127" s="12"/>
      <c r="E127" s="20">
        <f>-(Tabla27[[#This Row],[STOCK ACTUAL]]-Tabla27[[#This Row],[CONSUMO MENSUAL]]*1.15)</f>
        <v>0</v>
      </c>
      <c r="F127" s="12"/>
      <c r="G127" s="11"/>
    </row>
    <row r="128" spans="1:7" ht="15" customHeight="1" x14ac:dyDescent="0.25">
      <c r="A128" s="8" t="s">
        <v>36</v>
      </c>
      <c r="B128" s="8" t="s">
        <v>151</v>
      </c>
      <c r="C128" s="12"/>
      <c r="D128" s="12"/>
      <c r="E128" s="20">
        <f>-(Tabla27[[#This Row],[STOCK ACTUAL]]-Tabla27[[#This Row],[CONSUMO MENSUAL]]*1.15)</f>
        <v>0</v>
      </c>
      <c r="F128" s="12"/>
      <c r="G128" s="11"/>
    </row>
    <row r="129" spans="1:7" ht="15" customHeight="1" x14ac:dyDescent="0.25">
      <c r="A129" s="8" t="s">
        <v>18</v>
      </c>
      <c r="B129" s="8" t="s">
        <v>152</v>
      </c>
      <c r="C129" s="12"/>
      <c r="D129" s="12"/>
      <c r="E129" s="20">
        <f>-(Tabla27[[#This Row],[STOCK ACTUAL]]-Tabla27[[#This Row],[CONSUMO MENSUAL]]*1.15)</f>
        <v>0</v>
      </c>
      <c r="F129" s="12"/>
      <c r="G129" s="11"/>
    </row>
    <row r="130" spans="1:7" ht="15" customHeight="1" x14ac:dyDescent="0.25">
      <c r="A130" s="8" t="s">
        <v>36</v>
      </c>
      <c r="B130" s="8" t="s">
        <v>153</v>
      </c>
      <c r="C130" s="12"/>
      <c r="D130" s="12"/>
      <c r="E130" s="20">
        <f>-(Tabla27[[#This Row],[STOCK ACTUAL]]-Tabla27[[#This Row],[CONSUMO MENSUAL]]*1.15)</f>
        <v>0</v>
      </c>
      <c r="F130" s="12"/>
      <c r="G130" s="11"/>
    </row>
    <row r="131" spans="1:7" ht="15" customHeight="1" x14ac:dyDescent="0.25">
      <c r="A131" s="8" t="s">
        <v>15</v>
      </c>
      <c r="B131" s="8" t="s">
        <v>154</v>
      </c>
      <c r="C131" s="12"/>
      <c r="D131" s="12"/>
      <c r="E131" s="20">
        <f>-(Tabla27[[#This Row],[STOCK ACTUAL]]-Tabla27[[#This Row],[CONSUMO MENSUAL]]*1.15)</f>
        <v>0</v>
      </c>
      <c r="F131" s="12"/>
      <c r="G131" s="11"/>
    </row>
    <row r="132" spans="1:7" ht="15" customHeight="1" x14ac:dyDescent="0.25">
      <c r="A132" s="8" t="s">
        <v>15</v>
      </c>
      <c r="B132" s="8" t="s">
        <v>155</v>
      </c>
      <c r="C132" s="12"/>
      <c r="D132" s="12"/>
      <c r="E132" s="20">
        <f>-(Tabla27[[#This Row],[STOCK ACTUAL]]-Tabla27[[#This Row],[CONSUMO MENSUAL]]*1.15)</f>
        <v>0</v>
      </c>
      <c r="F132" s="12"/>
      <c r="G132" s="11"/>
    </row>
    <row r="133" spans="1:7" ht="15" customHeight="1" x14ac:dyDescent="0.25">
      <c r="A133" s="8" t="s">
        <v>41</v>
      </c>
      <c r="B133" s="8" t="s">
        <v>156</v>
      </c>
      <c r="C133" s="12"/>
      <c r="D133" s="12"/>
      <c r="E133" s="20">
        <f>-(Tabla27[[#This Row],[STOCK ACTUAL]]-Tabla27[[#This Row],[CONSUMO MENSUAL]]*1.15)</f>
        <v>0</v>
      </c>
      <c r="F133" s="12"/>
      <c r="G133" s="11"/>
    </row>
    <row r="134" spans="1:7" ht="15" customHeight="1" x14ac:dyDescent="0.25">
      <c r="A134" s="8" t="s">
        <v>32</v>
      </c>
      <c r="B134" s="22" t="s">
        <v>157</v>
      </c>
      <c r="C134" s="12"/>
      <c r="D134" s="12"/>
      <c r="E134" s="20">
        <f>-(Tabla27[[#This Row],[STOCK ACTUAL]]-Tabla27[[#This Row],[CONSUMO MENSUAL]]*1.15)</f>
        <v>0</v>
      </c>
      <c r="F134" s="12"/>
      <c r="G134" s="11"/>
    </row>
    <row r="135" spans="1:7" ht="15" customHeight="1" x14ac:dyDescent="0.25">
      <c r="A135" s="8" t="s">
        <v>45</v>
      </c>
      <c r="B135" s="8" t="s">
        <v>158</v>
      </c>
      <c r="C135" s="12"/>
      <c r="D135" s="12"/>
      <c r="E135" s="20">
        <f>-(Tabla27[[#This Row],[STOCK ACTUAL]]-Tabla27[[#This Row],[CONSUMO MENSUAL]]*1.15)</f>
        <v>0</v>
      </c>
      <c r="F135" s="12"/>
      <c r="G135" s="11"/>
    </row>
    <row r="136" spans="1:7" ht="15" customHeight="1" x14ac:dyDescent="0.25">
      <c r="A136" s="8" t="s">
        <v>15</v>
      </c>
      <c r="B136" s="8" t="s">
        <v>159</v>
      </c>
      <c r="C136" s="12"/>
      <c r="D136" s="12"/>
      <c r="E136" s="20">
        <f>-(Tabla27[[#This Row],[STOCK ACTUAL]]-Tabla27[[#This Row],[CONSUMO MENSUAL]]*1.15)</f>
        <v>0</v>
      </c>
      <c r="F136" s="12"/>
      <c r="G136" s="11"/>
    </row>
    <row r="137" spans="1:7" ht="15" customHeight="1" x14ac:dyDescent="0.25">
      <c r="A137" s="8" t="s">
        <v>15</v>
      </c>
      <c r="B137" s="8" t="s">
        <v>160</v>
      </c>
      <c r="C137" s="12"/>
      <c r="D137" s="12"/>
      <c r="E137" s="20">
        <f>-(Tabla27[[#This Row],[STOCK ACTUAL]]-Tabla27[[#This Row],[CONSUMO MENSUAL]]*1.15)</f>
        <v>0</v>
      </c>
      <c r="F137" s="12"/>
      <c r="G137" s="11"/>
    </row>
    <row r="138" spans="1:7" ht="15" customHeight="1" x14ac:dyDescent="0.25">
      <c r="A138" s="8" t="s">
        <v>36</v>
      </c>
      <c r="B138" s="8" t="s">
        <v>161</v>
      </c>
      <c r="C138" s="12"/>
      <c r="D138" s="12"/>
      <c r="E138" s="20">
        <f>-(Tabla27[[#This Row],[STOCK ACTUAL]]-Tabla27[[#This Row],[CONSUMO MENSUAL]]*1.15)</f>
        <v>0</v>
      </c>
      <c r="F138" s="12"/>
      <c r="G138" s="11"/>
    </row>
    <row r="139" spans="1:7" ht="15" customHeight="1" x14ac:dyDescent="0.25">
      <c r="A139" s="8" t="s">
        <v>36</v>
      </c>
      <c r="B139" s="8" t="s">
        <v>162</v>
      </c>
      <c r="C139" s="12"/>
      <c r="D139" s="12"/>
      <c r="E139" s="20">
        <f>-(Tabla27[[#This Row],[STOCK ACTUAL]]-Tabla27[[#This Row],[CONSUMO MENSUAL]]*1.15)</f>
        <v>0</v>
      </c>
      <c r="F139" s="12"/>
      <c r="G139" s="11"/>
    </row>
    <row r="140" spans="1:7" ht="15" customHeight="1" x14ac:dyDescent="0.25">
      <c r="A140" s="8" t="s">
        <v>36</v>
      </c>
      <c r="B140" s="8" t="s">
        <v>163</v>
      </c>
      <c r="C140" s="12"/>
      <c r="D140" s="12"/>
      <c r="E140" s="20">
        <f>-(Tabla27[[#This Row],[STOCK ACTUAL]]-Tabla27[[#This Row],[CONSUMO MENSUAL]]*1.15)</f>
        <v>0</v>
      </c>
      <c r="F140" s="12"/>
      <c r="G140" s="11"/>
    </row>
    <row r="141" spans="1:7" ht="15" customHeight="1" x14ac:dyDescent="0.25">
      <c r="A141" s="8" t="s">
        <v>15</v>
      </c>
      <c r="B141" s="14" t="s">
        <v>164</v>
      </c>
      <c r="C141" s="12"/>
      <c r="D141" s="12"/>
      <c r="E141" s="20">
        <f>-(Tabla27[[#This Row],[STOCK ACTUAL]]-Tabla27[[#This Row],[CONSUMO MENSUAL]]*1.15)</f>
        <v>0</v>
      </c>
      <c r="F141" s="12"/>
      <c r="G141" s="11"/>
    </row>
    <row r="142" spans="1:7" ht="15" customHeight="1" x14ac:dyDescent="0.25">
      <c r="A142" s="8" t="s">
        <v>25</v>
      </c>
      <c r="B142" s="8" t="s">
        <v>165</v>
      </c>
      <c r="C142" s="12"/>
      <c r="D142" s="12"/>
      <c r="E142" s="20">
        <f>-(Tabla27[[#This Row],[STOCK ACTUAL]]-Tabla27[[#This Row],[CONSUMO MENSUAL]]*1.15)</f>
        <v>0</v>
      </c>
      <c r="F142" s="12"/>
      <c r="G142" s="11"/>
    </row>
    <row r="143" spans="1:7" ht="15" customHeight="1" x14ac:dyDescent="0.25">
      <c r="A143" s="8" t="s">
        <v>32</v>
      </c>
      <c r="B143" s="8" t="s">
        <v>166</v>
      </c>
      <c r="C143" s="12"/>
      <c r="D143" s="12"/>
      <c r="E143" s="20">
        <f>-(Tabla27[[#This Row],[STOCK ACTUAL]]-Tabla27[[#This Row],[CONSUMO MENSUAL]]*1.15)</f>
        <v>0</v>
      </c>
      <c r="F143" s="12"/>
      <c r="G143" s="11"/>
    </row>
    <row r="144" spans="1:7" ht="15" customHeight="1" x14ac:dyDescent="0.25">
      <c r="A144" s="8" t="s">
        <v>15</v>
      </c>
      <c r="B144" s="8" t="s">
        <v>167</v>
      </c>
      <c r="C144" s="12"/>
      <c r="D144" s="12"/>
      <c r="E144" s="20">
        <f>-(Tabla27[[#This Row],[STOCK ACTUAL]]-Tabla27[[#This Row],[CONSUMO MENSUAL]]*1.15)</f>
        <v>0</v>
      </c>
      <c r="F144" s="12"/>
      <c r="G144" s="11"/>
    </row>
    <row r="145" spans="1:7" ht="15" customHeight="1" x14ac:dyDescent="0.25">
      <c r="A145" s="8" t="s">
        <v>32</v>
      </c>
      <c r="B145" s="8" t="s">
        <v>168</v>
      </c>
      <c r="C145" s="12"/>
      <c r="D145" s="12"/>
      <c r="E145" s="20">
        <f>-(Tabla27[[#This Row],[STOCK ACTUAL]]-Tabla27[[#This Row],[CONSUMO MENSUAL]]*1.15)</f>
        <v>0</v>
      </c>
      <c r="F145" s="12"/>
      <c r="G145" s="11"/>
    </row>
    <row r="146" spans="1:7" ht="15" customHeight="1" x14ac:dyDescent="0.25">
      <c r="A146" s="8" t="s">
        <v>15</v>
      </c>
      <c r="B146" s="8" t="s">
        <v>169</v>
      </c>
      <c r="C146" s="12"/>
      <c r="D146" s="12"/>
      <c r="E146" s="20">
        <f>-(Tabla27[[#This Row],[STOCK ACTUAL]]-Tabla27[[#This Row],[CONSUMO MENSUAL]]*1.15)</f>
        <v>0</v>
      </c>
      <c r="F146" s="12"/>
      <c r="G146" s="11"/>
    </row>
    <row r="147" spans="1:7" ht="15" customHeight="1" x14ac:dyDescent="0.25">
      <c r="A147" s="8" t="s">
        <v>15</v>
      </c>
      <c r="B147" s="8" t="s">
        <v>170</v>
      </c>
      <c r="C147" s="12"/>
      <c r="D147" s="12"/>
      <c r="E147" s="20">
        <f>-(Tabla27[[#This Row],[STOCK ACTUAL]]-Tabla27[[#This Row],[CONSUMO MENSUAL]]*1.15)</f>
        <v>0</v>
      </c>
      <c r="F147" s="12"/>
      <c r="G147" s="11"/>
    </row>
    <row r="148" spans="1:7" ht="15" customHeight="1" x14ac:dyDescent="0.25">
      <c r="A148" s="8" t="s">
        <v>25</v>
      </c>
      <c r="B148" s="8" t="s">
        <v>171</v>
      </c>
      <c r="C148" s="12"/>
      <c r="D148" s="12"/>
      <c r="E148" s="20">
        <f>-(Tabla27[[#This Row],[STOCK ACTUAL]]-Tabla27[[#This Row],[CONSUMO MENSUAL]]*1.15)</f>
        <v>0</v>
      </c>
      <c r="F148" s="12"/>
      <c r="G148" s="11"/>
    </row>
    <row r="149" spans="1:7" ht="15" customHeight="1" x14ac:dyDescent="0.25">
      <c r="A149" s="8" t="s">
        <v>15</v>
      </c>
      <c r="B149" s="8" t="s">
        <v>172</v>
      </c>
      <c r="C149" s="12"/>
      <c r="D149" s="12"/>
      <c r="E149" s="20">
        <f>-(Tabla27[[#This Row],[STOCK ACTUAL]]-Tabla27[[#This Row],[CONSUMO MENSUAL]]*1.15)</f>
        <v>0</v>
      </c>
      <c r="F149" s="12"/>
      <c r="G149" s="11"/>
    </row>
    <row r="150" spans="1:7" ht="15" customHeight="1" x14ac:dyDescent="0.25">
      <c r="A150" s="8" t="s">
        <v>32</v>
      </c>
      <c r="B150" s="8" t="s">
        <v>173</v>
      </c>
      <c r="C150" s="12"/>
      <c r="D150" s="12"/>
      <c r="E150" s="20">
        <f>-(Tabla27[[#This Row],[STOCK ACTUAL]]-Tabla27[[#This Row],[CONSUMO MENSUAL]]*1.15)</f>
        <v>0</v>
      </c>
      <c r="F150" s="12"/>
      <c r="G150" s="11"/>
    </row>
    <row r="151" spans="1:7" ht="15" customHeight="1" x14ac:dyDescent="0.25">
      <c r="A151" s="8" t="s">
        <v>34</v>
      </c>
      <c r="B151" s="8" t="s">
        <v>174</v>
      </c>
      <c r="C151" s="12"/>
      <c r="D151" s="12"/>
      <c r="E151" s="20">
        <f>-(Tabla27[[#This Row],[STOCK ACTUAL]]-Tabla27[[#This Row],[CONSUMO MENSUAL]]*1.15)</f>
        <v>0</v>
      </c>
      <c r="F151" s="12"/>
      <c r="G151" s="11"/>
    </row>
    <row r="152" spans="1:7" ht="15" customHeight="1" x14ac:dyDescent="0.25">
      <c r="A152" s="8" t="s">
        <v>32</v>
      </c>
      <c r="B152" s="8" t="s">
        <v>175</v>
      </c>
      <c r="C152" s="12"/>
      <c r="D152" s="12"/>
      <c r="E152" s="20">
        <f>-(Tabla27[[#This Row],[STOCK ACTUAL]]-Tabla27[[#This Row],[CONSUMO MENSUAL]]*1.15)</f>
        <v>0</v>
      </c>
      <c r="F152" s="12"/>
      <c r="G152" s="11"/>
    </row>
    <row r="153" spans="1:7" ht="15" customHeight="1" x14ac:dyDescent="0.25">
      <c r="A153" s="8" t="s">
        <v>15</v>
      </c>
      <c r="B153" s="8" t="s">
        <v>176</v>
      </c>
      <c r="C153" s="12"/>
      <c r="D153" s="12"/>
      <c r="E153" s="20">
        <f>-(Tabla27[[#This Row],[STOCK ACTUAL]]-Tabla27[[#This Row],[CONSUMO MENSUAL]]*1.15)</f>
        <v>0</v>
      </c>
      <c r="F153" s="12"/>
      <c r="G153" s="11"/>
    </row>
    <row r="154" spans="1:7" ht="15" customHeight="1" x14ac:dyDescent="0.25">
      <c r="A154" s="8" t="s">
        <v>15</v>
      </c>
      <c r="B154" s="8" t="s">
        <v>177</v>
      </c>
      <c r="C154" s="12"/>
      <c r="D154" s="12"/>
      <c r="E154" s="20">
        <f>-(Tabla27[[#This Row],[STOCK ACTUAL]]-Tabla27[[#This Row],[CONSUMO MENSUAL]]*1.15)</f>
        <v>0</v>
      </c>
      <c r="F154" s="12"/>
      <c r="G154" s="11"/>
    </row>
    <row r="155" spans="1:7" ht="15" customHeight="1" x14ac:dyDescent="0.25">
      <c r="A155" s="8" t="s">
        <v>25</v>
      </c>
      <c r="B155" s="8" t="s">
        <v>178</v>
      </c>
      <c r="C155" s="12"/>
      <c r="D155" s="12"/>
      <c r="E155" s="20">
        <f>-(Tabla27[[#This Row],[STOCK ACTUAL]]-Tabla27[[#This Row],[CONSUMO MENSUAL]]*1.15)</f>
        <v>0</v>
      </c>
      <c r="F155" s="12"/>
      <c r="G155" s="11"/>
    </row>
    <row r="156" spans="1:7" ht="15" customHeight="1" x14ac:dyDescent="0.25">
      <c r="A156" s="8" t="s">
        <v>41</v>
      </c>
      <c r="B156" s="8" t="s">
        <v>179</v>
      </c>
      <c r="C156" s="12"/>
      <c r="D156" s="12"/>
      <c r="E156" s="20">
        <f>-(Tabla27[[#This Row],[STOCK ACTUAL]]-Tabla27[[#This Row],[CONSUMO MENSUAL]]*1.15)</f>
        <v>0</v>
      </c>
      <c r="F156" s="12"/>
      <c r="G156" s="11"/>
    </row>
    <row r="157" spans="1:7" ht="15" customHeight="1" x14ac:dyDescent="0.25">
      <c r="A157" s="8" t="s">
        <v>32</v>
      </c>
      <c r="B157" s="8" t="s">
        <v>180</v>
      </c>
      <c r="C157" s="12"/>
      <c r="D157" s="12"/>
      <c r="E157" s="20">
        <f>-(Tabla27[[#This Row],[STOCK ACTUAL]]-Tabla27[[#This Row],[CONSUMO MENSUAL]]*1.15)</f>
        <v>0</v>
      </c>
      <c r="F157" s="12"/>
      <c r="G157" s="11"/>
    </row>
    <row r="158" spans="1:7" ht="15" customHeight="1" x14ac:dyDescent="0.25">
      <c r="A158" s="8" t="s">
        <v>32</v>
      </c>
      <c r="B158" s="8" t="s">
        <v>181</v>
      </c>
      <c r="C158" s="12"/>
      <c r="D158" s="12"/>
      <c r="E158" s="20">
        <f>-(Tabla27[[#This Row],[STOCK ACTUAL]]-Tabla27[[#This Row],[CONSUMO MENSUAL]]*1.15)</f>
        <v>0</v>
      </c>
      <c r="F158" s="12"/>
      <c r="G158" s="11"/>
    </row>
    <row r="159" spans="1:7" ht="15" customHeight="1" x14ac:dyDescent="0.25">
      <c r="A159" s="8" t="s">
        <v>41</v>
      </c>
      <c r="B159" s="8" t="s">
        <v>182</v>
      </c>
      <c r="C159" s="12"/>
      <c r="D159" s="12"/>
      <c r="E159" s="20">
        <f>-(Tabla27[[#This Row],[STOCK ACTUAL]]-Tabla27[[#This Row],[CONSUMO MENSUAL]]*1.15)</f>
        <v>0</v>
      </c>
      <c r="F159" s="12"/>
      <c r="G159" s="11"/>
    </row>
    <row r="160" spans="1:7" ht="15" customHeight="1" x14ac:dyDescent="0.25">
      <c r="A160" s="8" t="s">
        <v>41</v>
      </c>
      <c r="B160" s="8" t="s">
        <v>183</v>
      </c>
      <c r="C160" s="12"/>
      <c r="D160" s="12"/>
      <c r="E160" s="20">
        <f>-(Tabla27[[#This Row],[STOCK ACTUAL]]-Tabla27[[#This Row],[CONSUMO MENSUAL]]*1.15)</f>
        <v>0</v>
      </c>
      <c r="F160" s="12"/>
      <c r="G160" s="11"/>
    </row>
    <row r="161" spans="1:7" ht="15" customHeight="1" x14ac:dyDescent="0.25">
      <c r="A161" s="8" t="s">
        <v>15</v>
      </c>
      <c r="B161" s="8" t="s">
        <v>184</v>
      </c>
      <c r="C161" s="12"/>
      <c r="D161" s="12"/>
      <c r="E161" s="20">
        <f>-(Tabla27[[#This Row],[STOCK ACTUAL]]-Tabla27[[#This Row],[CONSUMO MENSUAL]]*1.15)</f>
        <v>0</v>
      </c>
      <c r="F161" s="12"/>
      <c r="G161" s="11"/>
    </row>
    <row r="162" spans="1:7" ht="15" customHeight="1" x14ac:dyDescent="0.25">
      <c r="A162" s="8" t="s">
        <v>15</v>
      </c>
      <c r="B162" s="8" t="s">
        <v>185</v>
      </c>
      <c r="C162" s="12"/>
      <c r="D162" s="12"/>
      <c r="E162" s="20">
        <f>-(Tabla27[[#This Row],[STOCK ACTUAL]]-Tabla27[[#This Row],[CONSUMO MENSUAL]]*1.15)</f>
        <v>0</v>
      </c>
      <c r="F162" s="12"/>
      <c r="G162" s="11"/>
    </row>
    <row r="163" spans="1:7" ht="15" customHeight="1" x14ac:dyDescent="0.25">
      <c r="A163" s="8" t="s">
        <v>15</v>
      </c>
      <c r="B163" s="8" t="s">
        <v>186</v>
      </c>
      <c r="C163" s="12"/>
      <c r="D163" s="12"/>
      <c r="E163" s="20">
        <f>-(Tabla27[[#This Row],[STOCK ACTUAL]]-Tabla27[[#This Row],[CONSUMO MENSUAL]]*1.15)</f>
        <v>0</v>
      </c>
      <c r="F163" s="12"/>
      <c r="G163" s="11"/>
    </row>
    <row r="164" spans="1:7" ht="15" customHeight="1" x14ac:dyDescent="0.25">
      <c r="A164" s="8" t="s">
        <v>15</v>
      </c>
      <c r="B164" s="8" t="s">
        <v>187</v>
      </c>
      <c r="C164" s="12"/>
      <c r="D164" s="12"/>
      <c r="E164" s="20">
        <f>-(Tabla27[[#This Row],[STOCK ACTUAL]]-Tabla27[[#This Row],[CONSUMO MENSUAL]]*1.15)</f>
        <v>0</v>
      </c>
      <c r="F164" s="12"/>
      <c r="G164" s="11"/>
    </row>
    <row r="165" spans="1:7" ht="15" customHeight="1" x14ac:dyDescent="0.25">
      <c r="A165" s="8" t="s">
        <v>36</v>
      </c>
      <c r="B165" s="8" t="s">
        <v>188</v>
      </c>
      <c r="C165" s="12"/>
      <c r="D165" s="12"/>
      <c r="E165" s="20">
        <f>-(Tabla27[[#This Row],[STOCK ACTUAL]]-Tabla27[[#This Row],[CONSUMO MENSUAL]]*1.15)</f>
        <v>0</v>
      </c>
      <c r="F165" s="12"/>
      <c r="G165" s="11"/>
    </row>
    <row r="166" spans="1:7" ht="15" customHeight="1" x14ac:dyDescent="0.25">
      <c r="A166" s="8" t="s">
        <v>36</v>
      </c>
      <c r="B166" s="8" t="s">
        <v>189</v>
      </c>
      <c r="C166" s="12"/>
      <c r="D166" s="12"/>
      <c r="E166" s="20">
        <f>-(Tabla27[[#This Row],[STOCK ACTUAL]]-Tabla27[[#This Row],[CONSUMO MENSUAL]]*1.15)</f>
        <v>0</v>
      </c>
      <c r="F166" s="12"/>
      <c r="G166" s="11"/>
    </row>
    <row r="167" spans="1:7" ht="15" customHeight="1" x14ac:dyDescent="0.25">
      <c r="A167" s="8" t="s">
        <v>15</v>
      </c>
      <c r="B167" s="8" t="s">
        <v>190</v>
      </c>
      <c r="C167" s="12"/>
      <c r="D167" s="12"/>
      <c r="E167" s="20">
        <f>-(Tabla27[[#This Row],[STOCK ACTUAL]]-Tabla27[[#This Row],[CONSUMO MENSUAL]]*1.15)</f>
        <v>0</v>
      </c>
      <c r="F167" s="12"/>
      <c r="G167" s="11"/>
    </row>
    <row r="168" spans="1:7" ht="15" customHeight="1" x14ac:dyDescent="0.25">
      <c r="A168" s="8" t="s">
        <v>36</v>
      </c>
      <c r="B168" s="8" t="s">
        <v>191</v>
      </c>
      <c r="C168" s="12"/>
      <c r="D168" s="12"/>
      <c r="E168" s="20">
        <f>-(Tabla27[[#This Row],[STOCK ACTUAL]]-Tabla27[[#This Row],[CONSUMO MENSUAL]]*1.15)</f>
        <v>0</v>
      </c>
      <c r="F168" s="12"/>
      <c r="G168" s="11"/>
    </row>
    <row r="169" spans="1:7" ht="15" customHeight="1" x14ac:dyDescent="0.25">
      <c r="A169" s="8" t="s">
        <v>15</v>
      </c>
      <c r="B169" s="8" t="s">
        <v>192</v>
      </c>
      <c r="C169" s="12"/>
      <c r="D169" s="12"/>
      <c r="E169" s="20">
        <f>-(Tabla27[[#This Row],[STOCK ACTUAL]]-Tabla27[[#This Row],[CONSUMO MENSUAL]]*1.15)</f>
        <v>0</v>
      </c>
      <c r="F169" s="12"/>
      <c r="G169" s="11"/>
    </row>
    <row r="170" spans="1:7" ht="15" customHeight="1" x14ac:dyDescent="0.25">
      <c r="A170" s="8" t="s">
        <v>15</v>
      </c>
      <c r="B170" s="8" t="s">
        <v>193</v>
      </c>
      <c r="C170" s="12"/>
      <c r="D170" s="12"/>
      <c r="E170" s="20">
        <f>-(Tabla27[[#This Row],[STOCK ACTUAL]]-Tabla27[[#This Row],[CONSUMO MENSUAL]]*1.15)</f>
        <v>0</v>
      </c>
      <c r="F170" s="12"/>
      <c r="G170" s="11"/>
    </row>
    <row r="171" spans="1:7" ht="15" customHeight="1" x14ac:dyDescent="0.25">
      <c r="A171" s="8" t="s">
        <v>15</v>
      </c>
      <c r="B171" s="8" t="s">
        <v>194</v>
      </c>
      <c r="C171" s="12"/>
      <c r="D171" s="12"/>
      <c r="E171" s="20">
        <f>-(Tabla27[[#This Row],[STOCK ACTUAL]]-Tabla27[[#This Row],[CONSUMO MENSUAL]]*1.15)</f>
        <v>0</v>
      </c>
      <c r="F171" s="12"/>
      <c r="G171" s="11"/>
    </row>
    <row r="172" spans="1:7" ht="15" customHeight="1" x14ac:dyDescent="0.25">
      <c r="A172" s="8" t="s">
        <v>41</v>
      </c>
      <c r="B172" s="8" t="s">
        <v>195</v>
      </c>
      <c r="C172" s="12"/>
      <c r="D172" s="12"/>
      <c r="E172" s="20">
        <f>-(Tabla27[[#This Row],[STOCK ACTUAL]]-Tabla27[[#This Row],[CONSUMO MENSUAL]]*1.15)</f>
        <v>0</v>
      </c>
      <c r="F172" s="12"/>
      <c r="G172" s="11"/>
    </row>
    <row r="173" spans="1:7" ht="15" customHeight="1" x14ac:dyDescent="0.25">
      <c r="A173" s="8" t="s">
        <v>32</v>
      </c>
      <c r="B173" s="8" t="s">
        <v>196</v>
      </c>
      <c r="C173" s="12"/>
      <c r="D173" s="12"/>
      <c r="E173" s="20">
        <f>-(Tabla27[[#This Row],[STOCK ACTUAL]]-Tabla27[[#This Row],[CONSUMO MENSUAL]]*1.15)</f>
        <v>0</v>
      </c>
      <c r="F173" s="12"/>
      <c r="G173" s="11"/>
    </row>
    <row r="174" spans="1:7" ht="15" customHeight="1" x14ac:dyDescent="0.25">
      <c r="A174" s="8" t="s">
        <v>15</v>
      </c>
      <c r="B174" s="8" t="s">
        <v>197</v>
      </c>
      <c r="C174" s="12"/>
      <c r="D174" s="12"/>
      <c r="E174" s="20">
        <f>-(Tabla27[[#This Row],[STOCK ACTUAL]]-Tabla27[[#This Row],[CONSUMO MENSUAL]]*1.15)</f>
        <v>0</v>
      </c>
      <c r="F174" s="12"/>
      <c r="G174" s="11"/>
    </row>
    <row r="175" spans="1:7" ht="15" customHeight="1" x14ac:dyDescent="0.25">
      <c r="A175" s="8" t="s">
        <v>32</v>
      </c>
      <c r="B175" s="8" t="s">
        <v>198</v>
      </c>
      <c r="C175" s="12"/>
      <c r="D175" s="12"/>
      <c r="E175" s="20">
        <f>-(Tabla27[[#This Row],[STOCK ACTUAL]]-Tabla27[[#This Row],[CONSUMO MENSUAL]]*1.15)</f>
        <v>0</v>
      </c>
      <c r="F175" s="12"/>
      <c r="G175" s="11"/>
    </row>
    <row r="176" spans="1:7" ht="15" customHeight="1" x14ac:dyDescent="0.25">
      <c r="A176" s="8" t="s">
        <v>15</v>
      </c>
      <c r="B176" s="8" t="s">
        <v>199</v>
      </c>
      <c r="C176" s="12"/>
      <c r="D176" s="12"/>
      <c r="E176" s="20">
        <f>-(Tabla27[[#This Row],[STOCK ACTUAL]]-Tabla27[[#This Row],[CONSUMO MENSUAL]]*1.15)</f>
        <v>0</v>
      </c>
      <c r="F176" s="12"/>
      <c r="G176" s="11"/>
    </row>
    <row r="177" spans="1:7" ht="15" customHeight="1" x14ac:dyDescent="0.25">
      <c r="A177" s="8" t="s">
        <v>18</v>
      </c>
      <c r="B177" s="8" t="s">
        <v>200</v>
      </c>
      <c r="C177" s="12"/>
      <c r="D177" s="12"/>
      <c r="E177" s="20">
        <f>-(Tabla27[[#This Row],[STOCK ACTUAL]]-Tabla27[[#This Row],[CONSUMO MENSUAL]]*1.15)</f>
        <v>0</v>
      </c>
      <c r="F177" s="12"/>
      <c r="G177" s="11"/>
    </row>
    <row r="178" spans="1:7" ht="15" customHeight="1" x14ac:dyDescent="0.25">
      <c r="A178" s="8" t="s">
        <v>15</v>
      </c>
      <c r="B178" s="8" t="s">
        <v>201</v>
      </c>
      <c r="C178" s="12"/>
      <c r="D178" s="12"/>
      <c r="E178" s="20">
        <f>-(Tabla27[[#This Row],[STOCK ACTUAL]]-Tabla27[[#This Row],[CONSUMO MENSUAL]]*1.15)</f>
        <v>0</v>
      </c>
      <c r="F178" s="12"/>
      <c r="G178" s="11"/>
    </row>
    <row r="179" spans="1:7" ht="15" customHeight="1" x14ac:dyDescent="0.25">
      <c r="A179" s="8" t="s">
        <v>34</v>
      </c>
      <c r="B179" s="8" t="s">
        <v>202</v>
      </c>
      <c r="C179" s="12"/>
      <c r="D179" s="12"/>
      <c r="E179" s="20">
        <f>-(Tabla27[[#This Row],[STOCK ACTUAL]]-Tabla27[[#This Row],[CONSUMO MENSUAL]]*1.15)</f>
        <v>0</v>
      </c>
      <c r="F179" s="12"/>
      <c r="G179" s="11"/>
    </row>
    <row r="180" spans="1:7" ht="15" customHeight="1" x14ac:dyDescent="0.25">
      <c r="A180" s="8" t="s">
        <v>36</v>
      </c>
      <c r="B180" s="8" t="s">
        <v>203</v>
      </c>
      <c r="C180" s="12"/>
      <c r="D180" s="12"/>
      <c r="E180" s="20">
        <f>-(Tabla27[[#This Row],[STOCK ACTUAL]]-Tabla27[[#This Row],[CONSUMO MENSUAL]]*1.15)</f>
        <v>0</v>
      </c>
      <c r="F180" s="12"/>
      <c r="G180" s="11"/>
    </row>
    <row r="181" spans="1:7" ht="15" customHeight="1" x14ac:dyDescent="0.25">
      <c r="A181" s="8" t="s">
        <v>32</v>
      </c>
      <c r="B181" s="8" t="s">
        <v>204</v>
      </c>
      <c r="C181" s="12"/>
      <c r="D181" s="12"/>
      <c r="E181" s="20">
        <f>-(Tabla27[[#This Row],[STOCK ACTUAL]]-Tabla27[[#This Row],[CONSUMO MENSUAL]]*1.15)</f>
        <v>0</v>
      </c>
      <c r="F181" s="12"/>
      <c r="G181" s="11"/>
    </row>
    <row r="182" spans="1:7" ht="15" customHeight="1" x14ac:dyDescent="0.25">
      <c r="A182" s="8" t="s">
        <v>18</v>
      </c>
      <c r="B182" s="8" t="s">
        <v>205</v>
      </c>
      <c r="C182" s="12"/>
      <c r="D182" s="12"/>
      <c r="E182" s="20">
        <f>-(Tabla27[[#This Row],[STOCK ACTUAL]]-Tabla27[[#This Row],[CONSUMO MENSUAL]]*1.15)</f>
        <v>0</v>
      </c>
      <c r="F182" s="12"/>
      <c r="G182" s="11"/>
    </row>
    <row r="183" spans="1:7" ht="15" customHeight="1" x14ac:dyDescent="0.25">
      <c r="A183" s="8" t="s">
        <v>36</v>
      </c>
      <c r="B183" s="8" t="s">
        <v>206</v>
      </c>
      <c r="C183" s="12"/>
      <c r="D183" s="12"/>
      <c r="E183" s="20">
        <f>-(Tabla27[[#This Row],[STOCK ACTUAL]]-Tabla27[[#This Row],[CONSUMO MENSUAL]]*1.15)</f>
        <v>0</v>
      </c>
      <c r="F183" s="12"/>
      <c r="G183" s="11"/>
    </row>
    <row r="184" spans="1:7" ht="15" customHeight="1" x14ac:dyDescent="0.25">
      <c r="A184" s="8" t="s">
        <v>36</v>
      </c>
      <c r="B184" s="8" t="s">
        <v>207</v>
      </c>
      <c r="C184" s="12"/>
      <c r="D184" s="12"/>
      <c r="E184" s="20">
        <f>-(Tabla27[[#This Row],[STOCK ACTUAL]]-Tabla27[[#This Row],[CONSUMO MENSUAL]]*1.15)</f>
        <v>0</v>
      </c>
      <c r="F184" s="12"/>
      <c r="G184" s="11"/>
    </row>
    <row r="185" spans="1:7" ht="15" customHeight="1" x14ac:dyDescent="0.25">
      <c r="A185" s="8" t="s">
        <v>36</v>
      </c>
      <c r="B185" s="8" t="s">
        <v>208</v>
      </c>
      <c r="C185" s="12"/>
      <c r="D185" s="12"/>
      <c r="E185" s="20">
        <f>-(Tabla27[[#This Row],[STOCK ACTUAL]]-Tabla27[[#This Row],[CONSUMO MENSUAL]]*1.15)</f>
        <v>0</v>
      </c>
      <c r="F185" s="12"/>
      <c r="G185" s="11"/>
    </row>
    <row r="186" spans="1:7" ht="15" customHeight="1" x14ac:dyDescent="0.25">
      <c r="A186" s="8" t="s">
        <v>36</v>
      </c>
      <c r="B186" s="8" t="s">
        <v>209</v>
      </c>
      <c r="C186" s="12"/>
      <c r="D186" s="12"/>
      <c r="E186" s="20">
        <f>-(Tabla27[[#This Row],[STOCK ACTUAL]]-Tabla27[[#This Row],[CONSUMO MENSUAL]]*1.15)</f>
        <v>0</v>
      </c>
      <c r="F186" s="12"/>
      <c r="G186" s="11"/>
    </row>
    <row r="187" spans="1:7" ht="15" customHeight="1" x14ac:dyDescent="0.25">
      <c r="A187" s="8" t="s">
        <v>36</v>
      </c>
      <c r="B187" s="8" t="s">
        <v>210</v>
      </c>
      <c r="C187" s="12"/>
      <c r="D187" s="12"/>
      <c r="E187" s="20">
        <f>-(Tabla27[[#This Row],[STOCK ACTUAL]]-Tabla27[[#This Row],[CONSUMO MENSUAL]]*1.15)</f>
        <v>0</v>
      </c>
      <c r="F187" s="12"/>
      <c r="G187" s="11"/>
    </row>
    <row r="188" spans="1:7" ht="15" customHeight="1" x14ac:dyDescent="0.25">
      <c r="A188" s="8" t="s">
        <v>15</v>
      </c>
      <c r="B188" s="8" t="s">
        <v>211</v>
      </c>
      <c r="C188" s="12"/>
      <c r="D188" s="12"/>
      <c r="E188" s="20">
        <f>-(Tabla27[[#This Row],[STOCK ACTUAL]]-Tabla27[[#This Row],[CONSUMO MENSUAL]]*1.15)</f>
        <v>0</v>
      </c>
      <c r="F188" s="12"/>
      <c r="G188" s="11"/>
    </row>
    <row r="189" spans="1:7" ht="15" customHeight="1" x14ac:dyDescent="0.25">
      <c r="A189" s="8" t="s">
        <v>36</v>
      </c>
      <c r="B189" s="8" t="s">
        <v>212</v>
      </c>
      <c r="C189" s="12"/>
      <c r="D189" s="12"/>
      <c r="E189" s="20">
        <f>-(Tabla27[[#This Row],[STOCK ACTUAL]]-Tabla27[[#This Row],[CONSUMO MENSUAL]]*1.15)</f>
        <v>0</v>
      </c>
      <c r="F189" s="12"/>
      <c r="G189" s="11"/>
    </row>
    <row r="190" spans="1:7" ht="15" customHeight="1" x14ac:dyDescent="0.25">
      <c r="A190" s="8" t="s">
        <v>36</v>
      </c>
      <c r="B190" s="8" t="s">
        <v>213</v>
      </c>
      <c r="C190" s="12"/>
      <c r="D190" s="12"/>
      <c r="E190" s="20">
        <f>-(Tabla27[[#This Row],[STOCK ACTUAL]]-Tabla27[[#This Row],[CONSUMO MENSUAL]]*1.15)</f>
        <v>0</v>
      </c>
      <c r="F190" s="12"/>
      <c r="G190" s="11"/>
    </row>
    <row r="191" spans="1:7" ht="15" customHeight="1" x14ac:dyDescent="0.25">
      <c r="A191" s="8" t="s">
        <v>32</v>
      </c>
      <c r="B191" s="8" t="s">
        <v>214</v>
      </c>
      <c r="C191" s="12"/>
      <c r="D191" s="12"/>
      <c r="E191" s="20">
        <f>-(Tabla27[[#This Row],[STOCK ACTUAL]]-Tabla27[[#This Row],[CONSUMO MENSUAL]]*1.15)</f>
        <v>0</v>
      </c>
      <c r="F191" s="12"/>
      <c r="G191" s="11"/>
    </row>
    <row r="192" spans="1:7" ht="15" customHeight="1" x14ac:dyDescent="0.25">
      <c r="A192" s="8" t="s">
        <v>15</v>
      </c>
      <c r="B192" s="8" t="s">
        <v>215</v>
      </c>
      <c r="C192" s="12"/>
      <c r="D192" s="12"/>
      <c r="E192" s="20">
        <f>-(Tabla27[[#This Row],[STOCK ACTUAL]]-Tabla27[[#This Row],[CONSUMO MENSUAL]]*1.15)</f>
        <v>0</v>
      </c>
      <c r="F192" s="12"/>
      <c r="G192" s="11"/>
    </row>
    <row r="193" spans="1:7" ht="15" customHeight="1" x14ac:dyDescent="0.25">
      <c r="A193" s="8" t="s">
        <v>15</v>
      </c>
      <c r="B193" s="8" t="s">
        <v>216</v>
      </c>
      <c r="C193" s="12"/>
      <c r="D193" s="12"/>
      <c r="E193" s="20">
        <f>-(Tabla27[[#This Row],[STOCK ACTUAL]]-Tabla27[[#This Row],[CONSUMO MENSUAL]]*1.15)</f>
        <v>0</v>
      </c>
      <c r="F193" s="12"/>
      <c r="G193" s="11"/>
    </row>
    <row r="194" spans="1:7" ht="15" customHeight="1" x14ac:dyDescent="0.25">
      <c r="A194" s="8" t="s">
        <v>25</v>
      </c>
      <c r="B194" s="8" t="s">
        <v>217</v>
      </c>
      <c r="C194" s="12"/>
      <c r="D194" s="12"/>
      <c r="E194" s="20">
        <f>-(Tabla27[[#This Row],[STOCK ACTUAL]]-Tabla27[[#This Row],[CONSUMO MENSUAL]]*1.15)</f>
        <v>0</v>
      </c>
      <c r="F194" s="12"/>
      <c r="G194" s="11"/>
    </row>
    <row r="195" spans="1:7" ht="15" customHeight="1" x14ac:dyDescent="0.25">
      <c r="A195" s="8" t="s">
        <v>15</v>
      </c>
      <c r="B195" s="8" t="s">
        <v>218</v>
      </c>
      <c r="C195" s="12"/>
      <c r="D195" s="12"/>
      <c r="E195" s="20">
        <f>-(Tabla27[[#This Row],[STOCK ACTUAL]]-Tabla27[[#This Row],[CONSUMO MENSUAL]]*1.15)</f>
        <v>0</v>
      </c>
      <c r="F195" s="12"/>
      <c r="G195" s="11"/>
    </row>
    <row r="196" spans="1:7" ht="15" customHeight="1" x14ac:dyDescent="0.25">
      <c r="A196" s="8" t="s">
        <v>15</v>
      </c>
      <c r="B196" s="8" t="s">
        <v>219</v>
      </c>
      <c r="C196" s="12"/>
      <c r="D196" s="12"/>
      <c r="E196" s="20">
        <f>-(Tabla27[[#This Row],[STOCK ACTUAL]]-Tabla27[[#This Row],[CONSUMO MENSUAL]]*1.15)</f>
        <v>0</v>
      </c>
      <c r="F196" s="12"/>
      <c r="G196" s="11"/>
    </row>
    <row r="197" spans="1:7" ht="15" customHeight="1" x14ac:dyDescent="0.25">
      <c r="A197" s="8" t="s">
        <v>34</v>
      </c>
      <c r="B197" s="8" t="s">
        <v>220</v>
      </c>
      <c r="C197" s="12"/>
      <c r="D197" s="12"/>
      <c r="E197" s="20">
        <f>-(Tabla27[[#This Row],[STOCK ACTUAL]]-Tabla27[[#This Row],[CONSUMO MENSUAL]]*1.15)</f>
        <v>0</v>
      </c>
      <c r="F197" s="12"/>
      <c r="G197" s="11"/>
    </row>
    <row r="198" spans="1:7" ht="15" customHeight="1" x14ac:dyDescent="0.25">
      <c r="A198" s="8" t="s">
        <v>15</v>
      </c>
      <c r="B198" s="8" t="s">
        <v>221</v>
      </c>
      <c r="C198" s="12"/>
      <c r="D198" s="12"/>
      <c r="E198" s="20">
        <f>-(Tabla27[[#This Row],[STOCK ACTUAL]]-Tabla27[[#This Row],[CONSUMO MENSUAL]]*1.15)</f>
        <v>0</v>
      </c>
      <c r="F198" s="12"/>
      <c r="G198" s="11"/>
    </row>
    <row r="199" spans="1:7" ht="15" customHeight="1" x14ac:dyDescent="0.25">
      <c r="A199" s="8" t="s">
        <v>32</v>
      </c>
      <c r="B199" s="8" t="s">
        <v>222</v>
      </c>
      <c r="C199" s="12"/>
      <c r="D199" s="12"/>
      <c r="E199" s="20">
        <f>-(Tabla27[[#This Row],[STOCK ACTUAL]]-Tabla27[[#This Row],[CONSUMO MENSUAL]]*1.15)</f>
        <v>0</v>
      </c>
      <c r="F199" s="12"/>
      <c r="G199" s="11"/>
    </row>
    <row r="200" spans="1:7" ht="15" customHeight="1" x14ac:dyDescent="0.25">
      <c r="A200" s="8" t="s">
        <v>15</v>
      </c>
      <c r="B200" s="8" t="s">
        <v>223</v>
      </c>
      <c r="C200" s="12"/>
      <c r="D200" s="12"/>
      <c r="E200" s="20">
        <f>-(Tabla27[[#This Row],[STOCK ACTUAL]]-Tabla27[[#This Row],[CONSUMO MENSUAL]]*1.15)</f>
        <v>0</v>
      </c>
      <c r="F200" s="12"/>
      <c r="G200" s="11"/>
    </row>
    <row r="201" spans="1:7" ht="15" customHeight="1" x14ac:dyDescent="0.25">
      <c r="A201" s="8" t="s">
        <v>36</v>
      </c>
      <c r="B201" s="8" t="s">
        <v>224</v>
      </c>
      <c r="C201" s="12"/>
      <c r="D201" s="12"/>
      <c r="E201" s="20">
        <f>-(Tabla27[[#This Row],[STOCK ACTUAL]]-Tabla27[[#This Row],[CONSUMO MENSUAL]]*1.15)</f>
        <v>0</v>
      </c>
      <c r="F201" s="12"/>
      <c r="G201" s="11"/>
    </row>
    <row r="202" spans="1:7" ht="15" customHeight="1" x14ac:dyDescent="0.25">
      <c r="A202" s="8" t="s">
        <v>25</v>
      </c>
      <c r="B202" s="8" t="s">
        <v>225</v>
      </c>
      <c r="C202" s="12"/>
      <c r="D202" s="12"/>
      <c r="E202" s="20">
        <f>-(Tabla27[[#This Row],[STOCK ACTUAL]]-Tabla27[[#This Row],[CONSUMO MENSUAL]]*1.15)</f>
        <v>0</v>
      </c>
      <c r="F202" s="12"/>
      <c r="G202" s="11"/>
    </row>
    <row r="203" spans="1:7" ht="15" customHeight="1" x14ac:dyDescent="0.25">
      <c r="A203" s="8" t="s">
        <v>15</v>
      </c>
      <c r="B203" s="8" t="s">
        <v>226</v>
      </c>
      <c r="C203" s="12"/>
      <c r="D203" s="12"/>
      <c r="E203" s="20">
        <f>-(Tabla27[[#This Row],[STOCK ACTUAL]]-Tabla27[[#This Row],[CONSUMO MENSUAL]]*1.15)</f>
        <v>0</v>
      </c>
      <c r="F203" s="12"/>
      <c r="G203" s="11"/>
    </row>
    <row r="204" spans="1:7" ht="15" customHeight="1" x14ac:dyDescent="0.25">
      <c r="A204" s="8" t="s">
        <v>15</v>
      </c>
      <c r="B204" s="8" t="s">
        <v>227</v>
      </c>
      <c r="C204" s="12"/>
      <c r="D204" s="12"/>
      <c r="E204" s="20">
        <f>-(Tabla27[[#This Row],[STOCK ACTUAL]]-Tabla27[[#This Row],[CONSUMO MENSUAL]]*1.15)</f>
        <v>0</v>
      </c>
      <c r="F204" s="12"/>
      <c r="G204" s="11"/>
    </row>
    <row r="205" spans="1:7" ht="15" customHeight="1" x14ac:dyDescent="0.25">
      <c r="A205" s="8" t="s">
        <v>32</v>
      </c>
      <c r="B205" s="8" t="s">
        <v>228</v>
      </c>
      <c r="C205" s="12"/>
      <c r="D205" s="12"/>
      <c r="E205" s="20">
        <f>-(Tabla27[[#This Row],[STOCK ACTUAL]]-Tabla27[[#This Row],[CONSUMO MENSUAL]]*1.15)</f>
        <v>0</v>
      </c>
      <c r="F205" s="12"/>
      <c r="G205" s="11"/>
    </row>
    <row r="206" spans="1:7" ht="15" customHeight="1" x14ac:dyDescent="0.25">
      <c r="A206" s="8" t="s">
        <v>15</v>
      </c>
      <c r="B206" s="8" t="s">
        <v>229</v>
      </c>
      <c r="C206" s="12"/>
      <c r="D206" s="12"/>
      <c r="E206" s="20">
        <f>-(Tabla27[[#This Row],[STOCK ACTUAL]]-Tabla27[[#This Row],[CONSUMO MENSUAL]]*1.15)</f>
        <v>0</v>
      </c>
      <c r="F206" s="12"/>
      <c r="G206" s="11"/>
    </row>
    <row r="207" spans="1:7" ht="15" customHeight="1" x14ac:dyDescent="0.25">
      <c r="A207" s="8" t="s">
        <v>15</v>
      </c>
      <c r="B207" s="8" t="s">
        <v>230</v>
      </c>
      <c r="C207" s="12"/>
      <c r="D207" s="12"/>
      <c r="E207" s="20">
        <f>-(Tabla27[[#This Row],[STOCK ACTUAL]]-Tabla27[[#This Row],[CONSUMO MENSUAL]]*1.15)</f>
        <v>0</v>
      </c>
      <c r="F207" s="12"/>
      <c r="G207" s="11"/>
    </row>
    <row r="208" spans="1:7" ht="15" customHeight="1" x14ac:dyDescent="0.25">
      <c r="A208" s="8" t="s">
        <v>15</v>
      </c>
      <c r="B208" s="8" t="s">
        <v>231</v>
      </c>
      <c r="C208" s="12"/>
      <c r="D208" s="12"/>
      <c r="E208" s="20">
        <f>-(Tabla27[[#This Row],[STOCK ACTUAL]]-Tabla27[[#This Row],[CONSUMO MENSUAL]]*1.15)</f>
        <v>0</v>
      </c>
      <c r="F208" s="12"/>
      <c r="G208" s="11"/>
    </row>
    <row r="209" spans="1:7" ht="15" customHeight="1" x14ac:dyDescent="0.25">
      <c r="A209" s="8" t="s">
        <v>41</v>
      </c>
      <c r="B209" s="8" t="s">
        <v>232</v>
      </c>
      <c r="C209" s="12"/>
      <c r="D209" s="12"/>
      <c r="E209" s="20">
        <f>-(Tabla27[[#This Row],[STOCK ACTUAL]]-Tabla27[[#This Row],[CONSUMO MENSUAL]]*1.15)</f>
        <v>0</v>
      </c>
      <c r="F209" s="12"/>
      <c r="G209" s="11"/>
    </row>
    <row r="210" spans="1:7" ht="15" customHeight="1" x14ac:dyDescent="0.25">
      <c r="A210" s="8" t="s">
        <v>15</v>
      </c>
      <c r="B210" s="8" t="s">
        <v>233</v>
      </c>
      <c r="C210" s="12"/>
      <c r="D210" s="12"/>
      <c r="E210" s="20">
        <f>-(Tabla27[[#This Row],[STOCK ACTUAL]]-Tabla27[[#This Row],[CONSUMO MENSUAL]]*1.15)</f>
        <v>0</v>
      </c>
      <c r="F210" s="12"/>
      <c r="G210" s="11"/>
    </row>
    <row r="211" spans="1:7" ht="15" customHeight="1" x14ac:dyDescent="0.25">
      <c r="A211" s="8" t="s">
        <v>15</v>
      </c>
      <c r="B211" s="8" t="s">
        <v>234</v>
      </c>
      <c r="C211" s="12"/>
      <c r="D211" s="12"/>
      <c r="E211" s="20">
        <f>-(Tabla27[[#This Row],[STOCK ACTUAL]]-Tabla27[[#This Row],[CONSUMO MENSUAL]]*1.15)</f>
        <v>0</v>
      </c>
      <c r="F211" s="12"/>
      <c r="G211" s="11"/>
    </row>
    <row r="212" spans="1:7" ht="15" customHeight="1" x14ac:dyDescent="0.25">
      <c r="A212" s="8" t="s">
        <v>34</v>
      </c>
      <c r="B212" s="8" t="s">
        <v>235</v>
      </c>
      <c r="C212" s="12"/>
      <c r="D212" s="12"/>
      <c r="E212" s="20">
        <f>-(Tabla27[[#This Row],[STOCK ACTUAL]]-Tabla27[[#This Row],[CONSUMO MENSUAL]]*1.15)</f>
        <v>0</v>
      </c>
      <c r="F212" s="12"/>
      <c r="G212" s="11"/>
    </row>
    <row r="213" spans="1:7" ht="15" customHeight="1" x14ac:dyDescent="0.25">
      <c r="A213" s="8" t="s">
        <v>41</v>
      </c>
      <c r="B213" s="8" t="s">
        <v>236</v>
      </c>
      <c r="C213" s="12"/>
      <c r="D213" s="12"/>
      <c r="E213" s="20">
        <f>-(Tabla27[[#This Row],[STOCK ACTUAL]]-Tabla27[[#This Row],[CONSUMO MENSUAL]]*1.15)</f>
        <v>0</v>
      </c>
      <c r="F213" s="12"/>
      <c r="G213" s="11"/>
    </row>
    <row r="214" spans="1:7" ht="15" customHeight="1" x14ac:dyDescent="0.25">
      <c r="A214" s="8" t="s">
        <v>15</v>
      </c>
      <c r="B214" s="8" t="s">
        <v>237</v>
      </c>
      <c r="C214" s="12"/>
      <c r="D214" s="12"/>
      <c r="E214" s="20">
        <f>-(Tabla27[[#This Row],[STOCK ACTUAL]]-Tabla27[[#This Row],[CONSUMO MENSUAL]]*1.15)</f>
        <v>0</v>
      </c>
      <c r="F214" s="12"/>
      <c r="G214" s="11"/>
    </row>
    <row r="215" spans="1:7" ht="15" customHeight="1" x14ac:dyDescent="0.25">
      <c r="A215" s="8" t="s">
        <v>15</v>
      </c>
      <c r="B215" s="8" t="s">
        <v>238</v>
      </c>
      <c r="C215" s="12"/>
      <c r="D215" s="12"/>
      <c r="E215" s="20">
        <f>-(Tabla27[[#This Row],[STOCK ACTUAL]]-Tabla27[[#This Row],[CONSUMO MENSUAL]]*1.15)</f>
        <v>0</v>
      </c>
      <c r="F215" s="12"/>
      <c r="G215" s="11"/>
    </row>
    <row r="216" spans="1:7" ht="15" customHeight="1" x14ac:dyDescent="0.25">
      <c r="A216" s="8" t="s">
        <v>15</v>
      </c>
      <c r="B216" s="8" t="s">
        <v>239</v>
      </c>
      <c r="C216" s="12"/>
      <c r="D216" s="12"/>
      <c r="E216" s="20">
        <f>-(Tabla27[[#This Row],[STOCK ACTUAL]]-Tabla27[[#This Row],[CONSUMO MENSUAL]]*1.15)</f>
        <v>0</v>
      </c>
      <c r="F216" s="12"/>
      <c r="G216" s="11"/>
    </row>
    <row r="217" spans="1:7" ht="15" customHeight="1" x14ac:dyDescent="0.25">
      <c r="A217" s="8" t="s">
        <v>15</v>
      </c>
      <c r="B217" s="8" t="s">
        <v>240</v>
      </c>
      <c r="C217" s="12"/>
      <c r="D217" s="12"/>
      <c r="E217" s="20">
        <f>-(Tabla27[[#This Row],[STOCK ACTUAL]]-Tabla27[[#This Row],[CONSUMO MENSUAL]]*1.15)</f>
        <v>0</v>
      </c>
      <c r="F217" s="12"/>
      <c r="G217" s="11"/>
    </row>
    <row r="218" spans="1:7" ht="15" customHeight="1" x14ac:dyDescent="0.25">
      <c r="A218" s="8" t="s">
        <v>15</v>
      </c>
      <c r="B218" s="8" t="s">
        <v>241</v>
      </c>
      <c r="C218" s="12"/>
      <c r="D218" s="12"/>
      <c r="E218" s="20">
        <f>-(Tabla27[[#This Row],[STOCK ACTUAL]]-Tabla27[[#This Row],[CONSUMO MENSUAL]]*1.15)</f>
        <v>0</v>
      </c>
      <c r="F218" s="12"/>
      <c r="G218" s="11"/>
    </row>
    <row r="219" spans="1:7" ht="15" customHeight="1" x14ac:dyDescent="0.25">
      <c r="A219" s="8" t="s">
        <v>15</v>
      </c>
      <c r="B219" s="8" t="s">
        <v>242</v>
      </c>
      <c r="C219" s="12"/>
      <c r="D219" s="12"/>
      <c r="E219" s="20">
        <f>-(Tabla27[[#This Row],[STOCK ACTUAL]]-Tabla27[[#This Row],[CONSUMO MENSUAL]]*1.15)</f>
        <v>0</v>
      </c>
      <c r="F219" s="12"/>
      <c r="G219" s="11"/>
    </row>
    <row r="220" spans="1:7" ht="15" customHeight="1" x14ac:dyDescent="0.25">
      <c r="A220" s="8" t="s">
        <v>34</v>
      </c>
      <c r="B220" s="8" t="s">
        <v>243</v>
      </c>
      <c r="C220" s="12"/>
      <c r="D220" s="12"/>
      <c r="E220" s="20">
        <f>-(Tabla27[[#This Row],[STOCK ACTUAL]]-Tabla27[[#This Row],[CONSUMO MENSUAL]]*1.15)</f>
        <v>0</v>
      </c>
      <c r="F220" s="12"/>
      <c r="G220" s="11"/>
    </row>
    <row r="221" spans="1:7" ht="15" customHeight="1" x14ac:dyDescent="0.25">
      <c r="A221" s="8" t="s">
        <v>15</v>
      </c>
      <c r="B221" s="8" t="s">
        <v>244</v>
      </c>
      <c r="C221" s="12"/>
      <c r="D221" s="12"/>
      <c r="E221" s="20">
        <f>-(Tabla27[[#This Row],[STOCK ACTUAL]]-Tabla27[[#This Row],[CONSUMO MENSUAL]]*1.15)</f>
        <v>0</v>
      </c>
      <c r="F221" s="12"/>
      <c r="G221" s="11"/>
    </row>
    <row r="222" spans="1:7" ht="15" customHeight="1" x14ac:dyDescent="0.25">
      <c r="A222" s="8" t="s">
        <v>32</v>
      </c>
      <c r="B222" s="8" t="s">
        <v>245</v>
      </c>
      <c r="C222" s="12"/>
      <c r="D222" s="12"/>
      <c r="E222" s="20">
        <f>-(Tabla27[[#This Row],[STOCK ACTUAL]]-Tabla27[[#This Row],[CONSUMO MENSUAL]]*1.15)</f>
        <v>0</v>
      </c>
      <c r="F222" s="12"/>
      <c r="G222" s="11"/>
    </row>
    <row r="223" spans="1:7" ht="15" customHeight="1" x14ac:dyDescent="0.25">
      <c r="A223" s="8" t="s">
        <v>32</v>
      </c>
      <c r="B223" s="8" t="s">
        <v>246</v>
      </c>
      <c r="C223" s="12"/>
      <c r="D223" s="12"/>
      <c r="E223" s="20">
        <f>-(Tabla27[[#This Row],[STOCK ACTUAL]]-Tabla27[[#This Row],[CONSUMO MENSUAL]]*1.15)</f>
        <v>0</v>
      </c>
      <c r="F223" s="12"/>
      <c r="G223" s="11"/>
    </row>
    <row r="224" spans="1:7" ht="15" customHeight="1" x14ac:dyDescent="0.25">
      <c r="A224" s="8" t="s">
        <v>15</v>
      </c>
      <c r="B224" s="8" t="s">
        <v>247</v>
      </c>
      <c r="C224" s="12"/>
      <c r="D224" s="12"/>
      <c r="E224" s="20">
        <f>-(Tabla27[[#This Row],[STOCK ACTUAL]]-Tabla27[[#This Row],[CONSUMO MENSUAL]]*1.15)</f>
        <v>0</v>
      </c>
      <c r="F224" s="12"/>
      <c r="G224" s="11"/>
    </row>
    <row r="225" spans="1:7" ht="15" customHeight="1" x14ac:dyDescent="0.25">
      <c r="A225" s="8" t="s">
        <v>15</v>
      </c>
      <c r="B225" s="8" t="s">
        <v>248</v>
      </c>
      <c r="C225" s="12"/>
      <c r="D225" s="12"/>
      <c r="E225" s="20">
        <f>-(Tabla27[[#This Row],[STOCK ACTUAL]]-Tabla27[[#This Row],[CONSUMO MENSUAL]]*1.15)</f>
        <v>0</v>
      </c>
      <c r="F225" s="12"/>
      <c r="G225" s="11"/>
    </row>
    <row r="226" spans="1:7" ht="15" customHeight="1" x14ac:dyDescent="0.25">
      <c r="A226" s="8" t="s">
        <v>15</v>
      </c>
      <c r="B226" s="8" t="s">
        <v>249</v>
      </c>
      <c r="C226" s="12"/>
      <c r="D226" s="12"/>
      <c r="E226" s="20">
        <f>-(Tabla27[[#This Row],[STOCK ACTUAL]]-Tabla27[[#This Row],[CONSUMO MENSUAL]]*1.15)</f>
        <v>0</v>
      </c>
      <c r="F226" s="12"/>
      <c r="G226" s="11"/>
    </row>
    <row r="227" spans="1:7" ht="15" customHeight="1" x14ac:dyDescent="0.25">
      <c r="A227" s="8" t="s">
        <v>15</v>
      </c>
      <c r="B227" s="8" t="s">
        <v>250</v>
      </c>
      <c r="C227" s="12"/>
      <c r="D227" s="12"/>
      <c r="E227" s="20">
        <f>-(Tabla27[[#This Row],[STOCK ACTUAL]]-Tabla27[[#This Row],[CONSUMO MENSUAL]]*1.15)</f>
        <v>0</v>
      </c>
      <c r="F227" s="12"/>
      <c r="G227" s="11"/>
    </row>
    <row r="228" spans="1:7" ht="15" customHeight="1" x14ac:dyDescent="0.25">
      <c r="A228" s="8" t="s">
        <v>15</v>
      </c>
      <c r="B228" s="8" t="s">
        <v>251</v>
      </c>
      <c r="C228" s="12"/>
      <c r="D228" s="12"/>
      <c r="E228" s="20">
        <f>-(Tabla27[[#This Row],[STOCK ACTUAL]]-Tabla27[[#This Row],[CONSUMO MENSUAL]]*1.15)</f>
        <v>0</v>
      </c>
      <c r="F228" s="12"/>
      <c r="G228" s="11"/>
    </row>
    <row r="229" spans="1:7" ht="15" customHeight="1" x14ac:dyDescent="0.25">
      <c r="A229" s="8" t="s">
        <v>32</v>
      </c>
      <c r="B229" s="8" t="s">
        <v>252</v>
      </c>
      <c r="C229" s="12"/>
      <c r="D229" s="12"/>
      <c r="E229" s="20">
        <f>-(Tabla27[[#This Row],[STOCK ACTUAL]]-Tabla27[[#This Row],[CONSUMO MENSUAL]]*1.15)</f>
        <v>0</v>
      </c>
      <c r="F229" s="12"/>
      <c r="G229" s="11"/>
    </row>
    <row r="230" spans="1:7" ht="15" customHeight="1" x14ac:dyDescent="0.25">
      <c r="A230" s="8" t="s">
        <v>15</v>
      </c>
      <c r="B230" s="8" t="s">
        <v>253</v>
      </c>
      <c r="C230" s="12"/>
      <c r="D230" s="12"/>
      <c r="E230" s="20">
        <f>-(Tabla27[[#This Row],[STOCK ACTUAL]]-Tabla27[[#This Row],[CONSUMO MENSUAL]]*1.15)</f>
        <v>0</v>
      </c>
      <c r="F230" s="12"/>
      <c r="G230" s="11"/>
    </row>
    <row r="231" spans="1:7" ht="15" customHeight="1" x14ac:dyDescent="0.25">
      <c r="A231" s="8" t="s">
        <v>32</v>
      </c>
      <c r="B231" s="8" t="s">
        <v>254</v>
      </c>
      <c r="C231" s="12"/>
      <c r="D231" s="12"/>
      <c r="E231" s="20">
        <f>-(Tabla27[[#This Row],[STOCK ACTUAL]]-Tabla27[[#This Row],[CONSUMO MENSUAL]]*1.15)</f>
        <v>0</v>
      </c>
      <c r="F231" s="12"/>
      <c r="G231" s="11"/>
    </row>
    <row r="232" spans="1:7" ht="15" customHeight="1" x14ac:dyDescent="0.25">
      <c r="A232" s="8" t="s">
        <v>18</v>
      </c>
      <c r="B232" s="8" t="s">
        <v>255</v>
      </c>
      <c r="C232" s="12"/>
      <c r="D232" s="12"/>
      <c r="E232" s="20">
        <f>-(Tabla27[[#This Row],[STOCK ACTUAL]]-Tabla27[[#This Row],[CONSUMO MENSUAL]]*1.15)</f>
        <v>0</v>
      </c>
      <c r="F232" s="12"/>
      <c r="G232" s="11"/>
    </row>
    <row r="233" spans="1:7" ht="15" customHeight="1" x14ac:dyDescent="0.25">
      <c r="A233" s="8" t="s">
        <v>36</v>
      </c>
      <c r="B233" s="8" t="s">
        <v>256</v>
      </c>
      <c r="C233" s="12"/>
      <c r="D233" s="12"/>
      <c r="E233" s="20">
        <f>-(Tabla27[[#This Row],[STOCK ACTUAL]]-Tabla27[[#This Row],[CONSUMO MENSUAL]]*1.15)</f>
        <v>0</v>
      </c>
      <c r="F233" s="12"/>
      <c r="G233" s="11"/>
    </row>
    <row r="234" spans="1:7" ht="15" customHeight="1" x14ac:dyDescent="0.25">
      <c r="A234" s="8" t="s">
        <v>15</v>
      </c>
      <c r="B234" s="8" t="s">
        <v>257</v>
      </c>
      <c r="C234" s="12"/>
      <c r="D234" s="12"/>
      <c r="E234" s="20">
        <f>-(Tabla27[[#This Row],[STOCK ACTUAL]]-Tabla27[[#This Row],[CONSUMO MENSUAL]]*1.15)</f>
        <v>0</v>
      </c>
      <c r="F234" s="12"/>
      <c r="G234" s="11"/>
    </row>
    <row r="235" spans="1:7" ht="15" customHeight="1" x14ac:dyDescent="0.25">
      <c r="A235" s="8" t="s">
        <v>36</v>
      </c>
      <c r="B235" s="8" t="s">
        <v>258</v>
      </c>
      <c r="C235" s="12"/>
      <c r="D235" s="12"/>
      <c r="E235" s="20">
        <f>-(Tabla27[[#This Row],[STOCK ACTUAL]]-Tabla27[[#This Row],[CONSUMO MENSUAL]]*1.15)</f>
        <v>0</v>
      </c>
      <c r="F235" s="12"/>
      <c r="G235" s="11"/>
    </row>
    <row r="236" spans="1:7" ht="15" customHeight="1" x14ac:dyDescent="0.25">
      <c r="A236" s="8" t="s">
        <v>36</v>
      </c>
      <c r="B236" s="8" t="s">
        <v>259</v>
      </c>
      <c r="C236" s="12"/>
      <c r="D236" s="12"/>
      <c r="E236" s="20">
        <f>-(Tabla27[[#This Row],[STOCK ACTUAL]]-Tabla27[[#This Row],[CONSUMO MENSUAL]]*1.15)</f>
        <v>0</v>
      </c>
      <c r="F236" s="12"/>
      <c r="G236" s="11"/>
    </row>
    <row r="237" spans="1:7" ht="15" customHeight="1" x14ac:dyDescent="0.25">
      <c r="A237" s="8" t="s">
        <v>36</v>
      </c>
      <c r="B237" s="8" t="s">
        <v>260</v>
      </c>
      <c r="C237" s="12"/>
      <c r="D237" s="12"/>
      <c r="E237" s="20">
        <f>-(Tabla27[[#This Row],[STOCK ACTUAL]]-Tabla27[[#This Row],[CONSUMO MENSUAL]]*1.15)</f>
        <v>0</v>
      </c>
      <c r="F237" s="12"/>
      <c r="G237" s="11"/>
    </row>
    <row r="238" spans="1:7" ht="15" customHeight="1" x14ac:dyDescent="0.25">
      <c r="A238" s="8" t="s">
        <v>15</v>
      </c>
      <c r="B238" s="8" t="s">
        <v>261</v>
      </c>
      <c r="C238" s="12"/>
      <c r="D238" s="12"/>
      <c r="E238" s="20">
        <f>-(Tabla27[[#This Row],[STOCK ACTUAL]]-Tabla27[[#This Row],[CONSUMO MENSUAL]]*1.15)</f>
        <v>0</v>
      </c>
      <c r="F238" s="12"/>
      <c r="G238" s="11"/>
    </row>
    <row r="239" spans="1:7" ht="15" customHeight="1" x14ac:dyDescent="0.25">
      <c r="A239" s="8" t="s">
        <v>15</v>
      </c>
      <c r="B239" s="8" t="s">
        <v>262</v>
      </c>
      <c r="C239" s="12"/>
      <c r="D239" s="12"/>
      <c r="E239" s="20">
        <f>-(Tabla27[[#This Row],[STOCK ACTUAL]]-Tabla27[[#This Row],[CONSUMO MENSUAL]]*1.15)</f>
        <v>0</v>
      </c>
      <c r="F239" s="12"/>
      <c r="G239" s="11"/>
    </row>
    <row r="240" spans="1:7" ht="15" customHeight="1" x14ac:dyDescent="0.25">
      <c r="A240" s="8" t="s">
        <v>36</v>
      </c>
      <c r="B240" s="8" t="s">
        <v>263</v>
      </c>
      <c r="C240" s="12"/>
      <c r="D240" s="12"/>
      <c r="E240" s="20">
        <f>-(Tabla27[[#This Row],[STOCK ACTUAL]]-Tabla27[[#This Row],[CONSUMO MENSUAL]]*1.15)</f>
        <v>0</v>
      </c>
      <c r="F240" s="12"/>
      <c r="G240" s="11"/>
    </row>
    <row r="241" spans="1:7" ht="15" customHeight="1" x14ac:dyDescent="0.25">
      <c r="A241" s="8" t="s">
        <v>15</v>
      </c>
      <c r="B241" s="8" t="s">
        <v>264</v>
      </c>
      <c r="C241" s="12"/>
      <c r="D241" s="12"/>
      <c r="E241" s="20">
        <f>-(Tabla27[[#This Row],[STOCK ACTUAL]]-Tabla27[[#This Row],[CONSUMO MENSUAL]]*1.15)</f>
        <v>0</v>
      </c>
      <c r="F241" s="12"/>
      <c r="G241" s="11"/>
    </row>
    <row r="242" spans="1:7" ht="15" customHeight="1" x14ac:dyDescent="0.25">
      <c r="A242" s="8" t="s">
        <v>15</v>
      </c>
      <c r="B242" s="8" t="s">
        <v>265</v>
      </c>
      <c r="C242" s="12"/>
      <c r="D242" s="12"/>
      <c r="E242" s="20">
        <f>-(Tabla27[[#This Row],[STOCK ACTUAL]]-Tabla27[[#This Row],[CONSUMO MENSUAL]]*1.15)</f>
        <v>0</v>
      </c>
      <c r="F242" s="12"/>
      <c r="G242" s="11"/>
    </row>
    <row r="243" spans="1:7" ht="15" customHeight="1" x14ac:dyDescent="0.25">
      <c r="A243" s="8" t="s">
        <v>15</v>
      </c>
      <c r="B243" s="8" t="s">
        <v>266</v>
      </c>
      <c r="C243" s="12"/>
      <c r="D243" s="12"/>
      <c r="E243" s="20">
        <f>-(Tabla27[[#This Row],[STOCK ACTUAL]]-Tabla27[[#This Row],[CONSUMO MENSUAL]]*1.15)</f>
        <v>0</v>
      </c>
      <c r="F243" s="12"/>
      <c r="G243" s="11"/>
    </row>
    <row r="244" spans="1:7" ht="15" customHeight="1" x14ac:dyDescent="0.25">
      <c r="A244" s="8" t="s">
        <v>15</v>
      </c>
      <c r="B244" s="8" t="s">
        <v>267</v>
      </c>
      <c r="C244" s="12"/>
      <c r="D244" s="12"/>
      <c r="E244" s="20">
        <f>-(Tabla27[[#This Row],[STOCK ACTUAL]]-Tabla27[[#This Row],[CONSUMO MENSUAL]]*1.15)</f>
        <v>0</v>
      </c>
      <c r="F244" s="12"/>
      <c r="G244" s="11"/>
    </row>
    <row r="245" spans="1:7" ht="15" customHeight="1" x14ac:dyDescent="0.25">
      <c r="A245" s="8" t="s">
        <v>34</v>
      </c>
      <c r="B245" s="8" t="s">
        <v>268</v>
      </c>
      <c r="C245" s="12"/>
      <c r="D245" s="12"/>
      <c r="E245" s="20">
        <f>-(Tabla27[[#This Row],[STOCK ACTUAL]]-Tabla27[[#This Row],[CONSUMO MENSUAL]]*1.15)</f>
        <v>0</v>
      </c>
      <c r="F245" s="12"/>
      <c r="G245" s="11"/>
    </row>
    <row r="246" spans="1:7" ht="15" customHeight="1" x14ac:dyDescent="0.25">
      <c r="A246" s="8" t="s">
        <v>34</v>
      </c>
      <c r="B246" s="8" t="s">
        <v>269</v>
      </c>
      <c r="C246" s="12"/>
      <c r="D246" s="12"/>
      <c r="E246" s="20">
        <f>-(Tabla27[[#This Row],[STOCK ACTUAL]]-Tabla27[[#This Row],[CONSUMO MENSUAL]]*1.15)</f>
        <v>0</v>
      </c>
      <c r="F246" s="12"/>
      <c r="G246" s="11"/>
    </row>
    <row r="247" spans="1:7" ht="15" customHeight="1" x14ac:dyDescent="0.25">
      <c r="A247" s="8" t="s">
        <v>36</v>
      </c>
      <c r="B247" s="8" t="s">
        <v>270</v>
      </c>
      <c r="C247" s="12"/>
      <c r="D247" s="12"/>
      <c r="E247" s="20">
        <f>-(Tabla27[[#This Row],[STOCK ACTUAL]]-Tabla27[[#This Row],[CONSUMO MENSUAL]]*1.15)</f>
        <v>0</v>
      </c>
      <c r="F247" s="12"/>
      <c r="G247" s="11"/>
    </row>
    <row r="248" spans="1:7" ht="15" customHeight="1" x14ac:dyDescent="0.25">
      <c r="A248" s="8" t="s">
        <v>32</v>
      </c>
      <c r="B248" s="8" t="s">
        <v>271</v>
      </c>
      <c r="C248" s="12"/>
      <c r="D248" s="12"/>
      <c r="E248" s="20">
        <f>-(Tabla27[[#This Row],[STOCK ACTUAL]]-Tabla27[[#This Row],[CONSUMO MENSUAL]]*1.15)</f>
        <v>0</v>
      </c>
      <c r="F248" s="12"/>
      <c r="G248" s="11"/>
    </row>
    <row r="249" spans="1:7" ht="15" customHeight="1" x14ac:dyDescent="0.25">
      <c r="A249" s="8" t="s">
        <v>36</v>
      </c>
      <c r="B249" s="8" t="s">
        <v>272</v>
      </c>
      <c r="C249" s="12"/>
      <c r="D249" s="12"/>
      <c r="E249" s="20">
        <f>-(Tabla27[[#This Row],[STOCK ACTUAL]]-Tabla27[[#This Row],[CONSUMO MENSUAL]]*1.15)</f>
        <v>0</v>
      </c>
      <c r="F249" s="12"/>
      <c r="G249" s="11"/>
    </row>
    <row r="250" spans="1:7" ht="15" customHeight="1" x14ac:dyDescent="0.25">
      <c r="A250" s="8" t="s">
        <v>36</v>
      </c>
      <c r="B250" s="8" t="s">
        <v>273</v>
      </c>
      <c r="C250" s="12"/>
      <c r="D250" s="12"/>
      <c r="E250" s="20">
        <f>-(Tabla27[[#This Row],[STOCK ACTUAL]]-Tabla27[[#This Row],[CONSUMO MENSUAL]]*1.15)</f>
        <v>0</v>
      </c>
      <c r="F250" s="12"/>
      <c r="G250" s="11"/>
    </row>
    <row r="251" spans="1:7" ht="15" customHeight="1" x14ac:dyDescent="0.25">
      <c r="A251" s="8" t="s">
        <v>34</v>
      </c>
      <c r="B251" s="8" t="s">
        <v>274</v>
      </c>
      <c r="C251" s="12"/>
      <c r="D251" s="12"/>
      <c r="E251" s="20">
        <f>-(Tabla27[[#This Row],[STOCK ACTUAL]]-Tabla27[[#This Row],[CONSUMO MENSUAL]]*1.15)</f>
        <v>0</v>
      </c>
      <c r="F251" s="12"/>
      <c r="G251" s="11"/>
    </row>
    <row r="252" spans="1:7" ht="15" customHeight="1" x14ac:dyDescent="0.25">
      <c r="A252" s="8" t="s">
        <v>34</v>
      </c>
      <c r="B252" s="8" t="s">
        <v>275</v>
      </c>
      <c r="C252" s="12"/>
      <c r="D252" s="12"/>
      <c r="E252" s="20">
        <f>-(Tabla27[[#This Row],[STOCK ACTUAL]]-Tabla27[[#This Row],[CONSUMO MENSUAL]]*1.15)</f>
        <v>0</v>
      </c>
      <c r="F252" s="12"/>
      <c r="G252" s="11"/>
    </row>
    <row r="253" spans="1:7" ht="15" customHeight="1" x14ac:dyDescent="0.25">
      <c r="A253" s="8" t="s">
        <v>34</v>
      </c>
      <c r="B253" s="8" t="s">
        <v>276</v>
      </c>
      <c r="C253" s="12"/>
      <c r="D253" s="12"/>
      <c r="E253" s="20">
        <f>-(Tabla27[[#This Row],[STOCK ACTUAL]]-Tabla27[[#This Row],[CONSUMO MENSUAL]]*1.15)</f>
        <v>0</v>
      </c>
      <c r="F253" s="12"/>
      <c r="G253" s="11"/>
    </row>
    <row r="254" spans="1:7" ht="15" customHeight="1" x14ac:dyDescent="0.25">
      <c r="A254" s="8" t="s">
        <v>36</v>
      </c>
      <c r="B254" s="8" t="s">
        <v>277</v>
      </c>
      <c r="C254" s="12"/>
      <c r="D254" s="12"/>
      <c r="E254" s="20">
        <f>-(Tabla27[[#This Row],[STOCK ACTUAL]]-Tabla27[[#This Row],[CONSUMO MENSUAL]]*1.15)</f>
        <v>0</v>
      </c>
      <c r="F254" s="12"/>
      <c r="G254" s="11"/>
    </row>
    <row r="255" spans="1:7" ht="15" customHeight="1" x14ac:dyDescent="0.25">
      <c r="A255" s="8" t="s">
        <v>15</v>
      </c>
      <c r="B255" s="8" t="s">
        <v>278</v>
      </c>
      <c r="C255" s="12"/>
      <c r="D255" s="12"/>
      <c r="E255" s="20">
        <f>-(Tabla27[[#This Row],[STOCK ACTUAL]]-Tabla27[[#This Row],[CONSUMO MENSUAL]]*1.15)</f>
        <v>0</v>
      </c>
      <c r="F255" s="12"/>
      <c r="G255" s="11"/>
    </row>
    <row r="256" spans="1:7" ht="15" customHeight="1" x14ac:dyDescent="0.25">
      <c r="A256" s="8" t="s">
        <v>15</v>
      </c>
      <c r="B256" s="8" t="s">
        <v>279</v>
      </c>
      <c r="C256" s="12"/>
      <c r="D256" s="12"/>
      <c r="E256" s="20">
        <f>-(Tabla27[[#This Row],[STOCK ACTUAL]]-Tabla27[[#This Row],[CONSUMO MENSUAL]]*1.15)</f>
        <v>0</v>
      </c>
      <c r="F256" s="12"/>
      <c r="G256" s="11"/>
    </row>
    <row r="257" spans="1:7" ht="15" customHeight="1" x14ac:dyDescent="0.25">
      <c r="A257" s="8" t="s">
        <v>36</v>
      </c>
      <c r="B257" s="8" t="s">
        <v>280</v>
      </c>
      <c r="C257" s="12"/>
      <c r="D257" s="12"/>
      <c r="E257" s="20">
        <f>-(Tabla27[[#This Row],[STOCK ACTUAL]]-Tabla27[[#This Row],[CONSUMO MENSUAL]]*1.15)</f>
        <v>0</v>
      </c>
      <c r="F257" s="12"/>
      <c r="G257" s="11"/>
    </row>
    <row r="258" spans="1:7" ht="15" customHeight="1" x14ac:dyDescent="0.25">
      <c r="A258" s="8" t="s">
        <v>15</v>
      </c>
      <c r="B258" s="8" t="s">
        <v>281</v>
      </c>
      <c r="C258" s="12"/>
      <c r="D258" s="12"/>
      <c r="E258" s="20">
        <f>-(Tabla27[[#This Row],[STOCK ACTUAL]]-Tabla27[[#This Row],[CONSUMO MENSUAL]]*1.15)</f>
        <v>0</v>
      </c>
      <c r="F258" s="12"/>
      <c r="G258" s="11"/>
    </row>
    <row r="259" spans="1:7" ht="15" customHeight="1" x14ac:dyDescent="0.25">
      <c r="A259" s="8" t="s">
        <v>32</v>
      </c>
      <c r="B259" s="8" t="s">
        <v>282</v>
      </c>
      <c r="C259" s="12"/>
      <c r="D259" s="12"/>
      <c r="E259" s="20">
        <f>-(Tabla27[[#This Row],[STOCK ACTUAL]]-Tabla27[[#This Row],[CONSUMO MENSUAL]]*1.15)</f>
        <v>0</v>
      </c>
      <c r="F259" s="12"/>
      <c r="G259" s="11"/>
    </row>
    <row r="260" spans="1:7" ht="15" customHeight="1" x14ac:dyDescent="0.25">
      <c r="A260" s="8" t="s">
        <v>15</v>
      </c>
      <c r="B260" s="8" t="s">
        <v>283</v>
      </c>
      <c r="C260" s="12"/>
      <c r="D260" s="12"/>
      <c r="E260" s="20">
        <f>-(Tabla27[[#This Row],[STOCK ACTUAL]]-Tabla27[[#This Row],[CONSUMO MENSUAL]]*1.15)</f>
        <v>0</v>
      </c>
      <c r="F260" s="12"/>
      <c r="G260" s="11"/>
    </row>
    <row r="261" spans="1:7" ht="15" customHeight="1" x14ac:dyDescent="0.25">
      <c r="A261" s="8" t="s">
        <v>15</v>
      </c>
      <c r="B261" s="8" t="s">
        <v>284</v>
      </c>
      <c r="C261" s="12"/>
      <c r="D261" s="12"/>
      <c r="E261" s="20">
        <f>-(Tabla27[[#This Row],[STOCK ACTUAL]]-Tabla27[[#This Row],[CONSUMO MENSUAL]]*1.15)</f>
        <v>0</v>
      </c>
      <c r="F261" s="12"/>
      <c r="G261" s="11"/>
    </row>
    <row r="262" spans="1:7" ht="15" customHeight="1" x14ac:dyDescent="0.25">
      <c r="A262" s="8" t="s">
        <v>32</v>
      </c>
      <c r="B262" s="8" t="s">
        <v>285</v>
      </c>
      <c r="C262" s="12"/>
      <c r="D262" s="12"/>
      <c r="E262" s="20">
        <f>-(Tabla27[[#This Row],[STOCK ACTUAL]]-Tabla27[[#This Row],[CONSUMO MENSUAL]]*1.15)</f>
        <v>0</v>
      </c>
      <c r="F262" s="12"/>
      <c r="G262" s="11"/>
    </row>
    <row r="263" spans="1:7" ht="15" customHeight="1" x14ac:dyDescent="0.25">
      <c r="A263" s="8" t="s">
        <v>41</v>
      </c>
      <c r="B263" s="8" t="s">
        <v>286</v>
      </c>
      <c r="C263" s="12"/>
      <c r="D263" s="12"/>
      <c r="E263" s="20">
        <f>-(Tabla27[[#This Row],[STOCK ACTUAL]]-Tabla27[[#This Row],[CONSUMO MENSUAL]]*1.15)</f>
        <v>0</v>
      </c>
      <c r="F263" s="12"/>
      <c r="G263" s="11"/>
    </row>
    <row r="264" spans="1:7" ht="15" customHeight="1" x14ac:dyDescent="0.25">
      <c r="A264" s="8" t="s">
        <v>15</v>
      </c>
      <c r="B264" s="8" t="s">
        <v>287</v>
      </c>
      <c r="C264" s="12"/>
      <c r="D264" s="12"/>
      <c r="E264" s="20">
        <f>-(Tabla27[[#This Row],[STOCK ACTUAL]]-Tabla27[[#This Row],[CONSUMO MENSUAL]]*1.15)</f>
        <v>0</v>
      </c>
      <c r="F264" s="12"/>
      <c r="G264" s="11"/>
    </row>
    <row r="265" spans="1:7" ht="15" customHeight="1" x14ac:dyDescent="0.25">
      <c r="A265" s="8" t="s">
        <v>15</v>
      </c>
      <c r="B265" s="8" t="s">
        <v>288</v>
      </c>
      <c r="C265" s="12"/>
      <c r="D265" s="12"/>
      <c r="E265" s="20">
        <f>-(Tabla27[[#This Row],[STOCK ACTUAL]]-Tabla27[[#This Row],[CONSUMO MENSUAL]]*1.15)</f>
        <v>0</v>
      </c>
      <c r="F265" s="12"/>
      <c r="G265" s="11"/>
    </row>
    <row r="266" spans="1:7" ht="15" customHeight="1" x14ac:dyDescent="0.25">
      <c r="A266" s="8" t="s">
        <v>18</v>
      </c>
      <c r="B266" s="8" t="s">
        <v>289</v>
      </c>
      <c r="C266" s="12"/>
      <c r="D266" s="12"/>
      <c r="E266" s="20">
        <f>-(Tabla27[[#This Row],[STOCK ACTUAL]]-Tabla27[[#This Row],[CONSUMO MENSUAL]]*1.15)</f>
        <v>0</v>
      </c>
      <c r="F266" s="12"/>
      <c r="G266" s="11"/>
    </row>
    <row r="267" spans="1:7" ht="15" customHeight="1" x14ac:dyDescent="0.25">
      <c r="A267" s="8" t="s">
        <v>15</v>
      </c>
      <c r="B267" s="8" t="s">
        <v>290</v>
      </c>
      <c r="C267" s="12"/>
      <c r="D267" s="12"/>
      <c r="E267" s="20">
        <f>-(Tabla27[[#This Row],[STOCK ACTUAL]]-Tabla27[[#This Row],[CONSUMO MENSUAL]]*1.15)</f>
        <v>0</v>
      </c>
      <c r="F267" s="12"/>
      <c r="G267" s="11"/>
    </row>
    <row r="268" spans="1:7" ht="15" customHeight="1" x14ac:dyDescent="0.25">
      <c r="A268" s="8" t="s">
        <v>18</v>
      </c>
      <c r="B268" s="8" t="s">
        <v>291</v>
      </c>
      <c r="C268" s="12"/>
      <c r="D268" s="12"/>
      <c r="E268" s="20">
        <f>-(Tabla27[[#This Row],[STOCK ACTUAL]]-Tabla27[[#This Row],[CONSUMO MENSUAL]]*1.15)</f>
        <v>0</v>
      </c>
      <c r="F268" s="12"/>
      <c r="G268" s="11"/>
    </row>
    <row r="269" spans="1:7" ht="15" customHeight="1" x14ac:dyDescent="0.25">
      <c r="A269" s="8" t="s">
        <v>15</v>
      </c>
      <c r="B269" s="8" t="s">
        <v>292</v>
      </c>
      <c r="C269" s="12"/>
      <c r="D269" s="12"/>
      <c r="E269" s="20">
        <f>-(Tabla27[[#This Row],[STOCK ACTUAL]]-Tabla27[[#This Row],[CONSUMO MENSUAL]]*1.15)</f>
        <v>0</v>
      </c>
      <c r="F269" s="12"/>
      <c r="G269" s="11"/>
    </row>
    <row r="270" spans="1:7" ht="15" customHeight="1" x14ac:dyDescent="0.25">
      <c r="A270" s="8" t="s">
        <v>36</v>
      </c>
      <c r="B270" s="8" t="s">
        <v>293</v>
      </c>
      <c r="C270" s="12"/>
      <c r="D270" s="12"/>
      <c r="E270" s="20">
        <f>-(Tabla27[[#This Row],[STOCK ACTUAL]]-Tabla27[[#This Row],[CONSUMO MENSUAL]]*1.15)</f>
        <v>0</v>
      </c>
      <c r="F270" s="12"/>
      <c r="G270" s="11"/>
    </row>
    <row r="271" spans="1:7" ht="15" customHeight="1" x14ac:dyDescent="0.25">
      <c r="A271" s="8" t="s">
        <v>36</v>
      </c>
      <c r="B271" s="8" t="s">
        <v>294</v>
      </c>
      <c r="C271" s="12"/>
      <c r="D271" s="12"/>
      <c r="E271" s="20">
        <f>-(Tabla27[[#This Row],[STOCK ACTUAL]]-Tabla27[[#This Row],[CONSUMO MENSUAL]]*1.15)</f>
        <v>0</v>
      </c>
      <c r="F271" s="12"/>
      <c r="G271" s="11"/>
    </row>
    <row r="272" spans="1:7" ht="15" customHeight="1" x14ac:dyDescent="0.25">
      <c r="A272" s="8" t="s">
        <v>18</v>
      </c>
      <c r="B272" s="8" t="s">
        <v>295</v>
      </c>
      <c r="C272" s="12"/>
      <c r="D272" s="12"/>
      <c r="E272" s="20">
        <f>-(Tabla27[[#This Row],[STOCK ACTUAL]]-Tabla27[[#This Row],[CONSUMO MENSUAL]]*1.15)</f>
        <v>0</v>
      </c>
      <c r="F272" s="12"/>
      <c r="G272" s="11"/>
    </row>
    <row r="273" spans="1:7" ht="15" customHeight="1" x14ac:dyDescent="0.25">
      <c r="A273" s="8" t="s">
        <v>15</v>
      </c>
      <c r="B273" s="8" t="s">
        <v>296</v>
      </c>
      <c r="C273" s="12"/>
      <c r="D273" s="12"/>
      <c r="E273" s="20">
        <f>-(Tabla27[[#This Row],[STOCK ACTUAL]]-Tabla27[[#This Row],[CONSUMO MENSUAL]]*1.15)</f>
        <v>0</v>
      </c>
      <c r="F273" s="12"/>
      <c r="G273" s="11"/>
    </row>
    <row r="274" spans="1:7" ht="15" customHeight="1" x14ac:dyDescent="0.25">
      <c r="A274" s="8" t="s">
        <v>15</v>
      </c>
      <c r="B274" s="8" t="s">
        <v>297</v>
      </c>
      <c r="C274" s="12"/>
      <c r="D274" s="12"/>
      <c r="E274" s="20">
        <f>-(Tabla27[[#This Row],[STOCK ACTUAL]]-Tabla27[[#This Row],[CONSUMO MENSUAL]]*1.15)</f>
        <v>0</v>
      </c>
      <c r="F274" s="12"/>
      <c r="G274" s="11"/>
    </row>
    <row r="275" spans="1:7" ht="15" customHeight="1" x14ac:dyDescent="0.25">
      <c r="A275" s="8" t="s">
        <v>36</v>
      </c>
      <c r="B275" s="8" t="s">
        <v>298</v>
      </c>
      <c r="C275" s="12"/>
      <c r="D275" s="12"/>
      <c r="E275" s="20">
        <f>-(Tabla27[[#This Row],[STOCK ACTUAL]]-Tabla27[[#This Row],[CONSUMO MENSUAL]]*1.15)</f>
        <v>0</v>
      </c>
      <c r="F275" s="12"/>
      <c r="G275" s="11"/>
    </row>
    <row r="276" spans="1:7" ht="15" customHeight="1" x14ac:dyDescent="0.25">
      <c r="A276" s="8" t="s">
        <v>18</v>
      </c>
      <c r="B276" s="8" t="s">
        <v>299</v>
      </c>
      <c r="C276" s="12"/>
      <c r="D276" s="12"/>
      <c r="E276" s="20">
        <f>-(Tabla27[[#This Row],[STOCK ACTUAL]]-Tabla27[[#This Row],[CONSUMO MENSUAL]]*1.15)</f>
        <v>0</v>
      </c>
      <c r="F276" s="12"/>
      <c r="G276" s="11"/>
    </row>
    <row r="277" spans="1:7" ht="15" customHeight="1" x14ac:dyDescent="0.25">
      <c r="A277" s="8" t="s">
        <v>15</v>
      </c>
      <c r="B277" s="8" t="s">
        <v>300</v>
      </c>
      <c r="C277" s="12"/>
      <c r="D277" s="12"/>
      <c r="E277" s="20">
        <f>-(Tabla27[[#This Row],[STOCK ACTUAL]]-Tabla27[[#This Row],[CONSUMO MENSUAL]]*1.15)</f>
        <v>0</v>
      </c>
      <c r="F277" s="12"/>
      <c r="G277" s="11"/>
    </row>
    <row r="278" spans="1:7" ht="15" customHeight="1" x14ac:dyDescent="0.25">
      <c r="A278" s="8" t="s">
        <v>15</v>
      </c>
      <c r="B278" s="8" t="s">
        <v>301</v>
      </c>
      <c r="C278" s="12"/>
      <c r="D278" s="12"/>
      <c r="E278" s="20">
        <f>-(Tabla27[[#This Row],[STOCK ACTUAL]]-Tabla27[[#This Row],[CONSUMO MENSUAL]]*1.15)</f>
        <v>0</v>
      </c>
      <c r="F278" s="12"/>
      <c r="G278" s="11"/>
    </row>
    <row r="279" spans="1:7" ht="15" customHeight="1" x14ac:dyDescent="0.25">
      <c r="A279" s="8" t="s">
        <v>15</v>
      </c>
      <c r="B279" s="8" t="s">
        <v>302</v>
      </c>
      <c r="C279" s="12"/>
      <c r="D279" s="12"/>
      <c r="E279" s="20">
        <f>-(Tabla27[[#This Row],[STOCK ACTUAL]]-Tabla27[[#This Row],[CONSUMO MENSUAL]]*1.15)</f>
        <v>0</v>
      </c>
      <c r="F279" s="12"/>
      <c r="G279" s="11"/>
    </row>
    <row r="280" spans="1:7" ht="15" customHeight="1" x14ac:dyDescent="0.25">
      <c r="A280" s="8" t="s">
        <v>32</v>
      </c>
      <c r="B280" s="8" t="s">
        <v>303</v>
      </c>
      <c r="C280" s="12"/>
      <c r="D280" s="12"/>
      <c r="E280" s="20">
        <f>-(Tabla27[[#This Row],[STOCK ACTUAL]]-Tabla27[[#This Row],[CONSUMO MENSUAL]]*1.15)</f>
        <v>0</v>
      </c>
      <c r="F280" s="12"/>
      <c r="G280" s="11"/>
    </row>
    <row r="281" spans="1:7" ht="15" customHeight="1" x14ac:dyDescent="0.25">
      <c r="A281" s="8" t="s">
        <v>36</v>
      </c>
      <c r="B281" s="8" t="s">
        <v>304</v>
      </c>
      <c r="C281" s="12"/>
      <c r="D281" s="12"/>
      <c r="E281" s="20">
        <f>-(Tabla27[[#This Row],[STOCK ACTUAL]]-Tabla27[[#This Row],[CONSUMO MENSUAL]]*1.15)</f>
        <v>0</v>
      </c>
      <c r="F281" s="12"/>
      <c r="G281" s="11"/>
    </row>
    <row r="282" spans="1:7" ht="15" customHeight="1" x14ac:dyDescent="0.25">
      <c r="A282" s="8" t="s">
        <v>15</v>
      </c>
      <c r="B282" s="8" t="s">
        <v>305</v>
      </c>
      <c r="C282" s="12"/>
      <c r="D282" s="12"/>
      <c r="E282" s="20">
        <f>-(Tabla27[[#This Row],[STOCK ACTUAL]]-Tabla27[[#This Row],[CONSUMO MENSUAL]]*1.15)</f>
        <v>0</v>
      </c>
      <c r="F282" s="12"/>
      <c r="G282" s="11"/>
    </row>
    <row r="283" spans="1:7" ht="15" customHeight="1" x14ac:dyDescent="0.25">
      <c r="A283" s="8" t="s">
        <v>32</v>
      </c>
      <c r="B283" s="8" t="s">
        <v>306</v>
      </c>
      <c r="C283" s="12"/>
      <c r="D283" s="12"/>
      <c r="E283" s="20">
        <f>-(Tabla27[[#This Row],[STOCK ACTUAL]]-Tabla27[[#This Row],[CONSUMO MENSUAL]]*1.15)</f>
        <v>0</v>
      </c>
      <c r="F283" s="12"/>
      <c r="G283" s="11"/>
    </row>
    <row r="284" spans="1:7" ht="15" customHeight="1" x14ac:dyDescent="0.25">
      <c r="A284" s="8" t="s">
        <v>15</v>
      </c>
      <c r="B284" s="8" t="s">
        <v>307</v>
      </c>
      <c r="C284" s="12"/>
      <c r="D284" s="12"/>
      <c r="E284" s="20">
        <f>-(Tabla27[[#This Row],[STOCK ACTUAL]]-Tabla27[[#This Row],[CONSUMO MENSUAL]]*1.15)</f>
        <v>0</v>
      </c>
      <c r="F284" s="12"/>
      <c r="G284" s="11"/>
    </row>
    <row r="285" spans="1:7" ht="15" customHeight="1" x14ac:dyDescent="0.25">
      <c r="A285" s="8" t="s">
        <v>34</v>
      </c>
      <c r="B285" s="8" t="s">
        <v>308</v>
      </c>
      <c r="C285" s="12"/>
      <c r="D285" s="12"/>
      <c r="E285" s="20">
        <f>-(Tabla27[[#This Row],[STOCK ACTUAL]]-Tabla27[[#This Row],[CONSUMO MENSUAL]]*1.15)</f>
        <v>0</v>
      </c>
      <c r="F285" s="12"/>
      <c r="G285" s="11"/>
    </row>
    <row r="286" spans="1:7" ht="15" customHeight="1" x14ac:dyDescent="0.25">
      <c r="A286" s="8" t="s">
        <v>34</v>
      </c>
      <c r="B286" s="8" t="s">
        <v>309</v>
      </c>
      <c r="C286" s="12"/>
      <c r="D286" s="12"/>
      <c r="E286" s="20">
        <f>-(Tabla27[[#This Row],[STOCK ACTUAL]]-Tabla27[[#This Row],[CONSUMO MENSUAL]]*1.15)</f>
        <v>0</v>
      </c>
      <c r="F286" s="12"/>
      <c r="G286" s="11"/>
    </row>
    <row r="287" spans="1:7" ht="15" customHeight="1" x14ac:dyDescent="0.25">
      <c r="A287" s="17"/>
      <c r="B287" s="18"/>
      <c r="C287" s="12"/>
      <c r="D287" s="12"/>
      <c r="E287" s="20">
        <f>-(Tabla27[[#This Row],[STOCK ACTUAL]]-Tabla27[[#This Row],[CONSUMO MENSUAL]]*1.15)</f>
        <v>0</v>
      </c>
      <c r="F287" s="12"/>
      <c r="G287" s="11"/>
    </row>
    <row r="288" spans="1:7" ht="15" customHeight="1" x14ac:dyDescent="0.25">
      <c r="A288" s="17"/>
      <c r="B288" s="18"/>
      <c r="C288" s="12"/>
      <c r="D288" s="12"/>
      <c r="E288" s="20">
        <f>-(Tabla27[[#This Row],[STOCK ACTUAL]]-Tabla27[[#This Row],[CONSUMO MENSUAL]]*1.15)</f>
        <v>0</v>
      </c>
      <c r="F288" s="12"/>
      <c r="G288" s="11"/>
    </row>
    <row r="289" spans="1:7" ht="15" customHeight="1" x14ac:dyDescent="0.25">
      <c r="A289" s="17"/>
      <c r="B289" s="18"/>
      <c r="C289" s="12"/>
      <c r="D289" s="12"/>
      <c r="E289" s="20">
        <f>-(Tabla27[[#This Row],[STOCK ACTUAL]]-Tabla27[[#This Row],[CONSUMO MENSUAL]]*1.15)</f>
        <v>0</v>
      </c>
      <c r="F289" s="12"/>
      <c r="G289" s="11"/>
    </row>
    <row r="290" spans="1:7" ht="15" customHeight="1" x14ac:dyDescent="0.25">
      <c r="A290" s="17"/>
      <c r="B290" s="18"/>
      <c r="C290" s="12"/>
      <c r="D290" s="12"/>
      <c r="E290" s="20">
        <f>-(Tabla27[[#This Row],[STOCK ACTUAL]]-Tabla27[[#This Row],[CONSUMO MENSUAL]]*1.15)</f>
        <v>0</v>
      </c>
      <c r="F290" s="12"/>
      <c r="G290" s="11"/>
    </row>
    <row r="291" spans="1:7" ht="15" customHeight="1" x14ac:dyDescent="0.25">
      <c r="A291" s="17"/>
      <c r="B291" s="18"/>
      <c r="C291" s="12"/>
      <c r="D291" s="12"/>
      <c r="E291" s="20">
        <f>-(Tabla27[[#This Row],[STOCK ACTUAL]]-Tabla27[[#This Row],[CONSUMO MENSUAL]]*1.15)</f>
        <v>0</v>
      </c>
      <c r="F291" s="12"/>
      <c r="G291" s="11"/>
    </row>
  </sheetData>
  <sheetProtection algorithmName="SHA-512" hashValue="+BsRN7bc68owBruPgj+dHi4NudPDtUWeGS366qSdfbAkW2f46Ko7yhEZAHsgt7WgRXZYm/e3iq61PYoKJzj1lw==" saltValue="uvOlZrLtb+8enM2YkJCX9g==" spinCount="100000" sheet="1" autoFilter="0"/>
  <protectedRanges>
    <protectedRange sqref="F2:G3" name="Rango1"/>
    <protectedRange sqref="F6:F291 C6:D291" name="Rango2"/>
  </protectedRanges>
  <mergeCells count="4">
    <mergeCell ref="A1:A4"/>
    <mergeCell ref="B2:D3"/>
    <mergeCell ref="F2:G2"/>
    <mergeCell ref="F3:G3"/>
  </mergeCells>
  <conditionalFormatting sqref="E6:E291">
    <cfRule type="cellIs" dxfId="4" priority="1" operator="lessThan">
      <formula>0</formula>
    </cfRule>
  </conditionalFormatting>
  <dataValidations count="3">
    <dataValidation type="list" allowBlank="1" showInputMessage="1" showErrorMessage="1" error="¡¡¡¡¡¡¡¡  HERRORRR   SOLO_x000a_ DATOS DE LA LISTA !!!!!!" prompt="¡¡.....  INGRESE _x000a_DATOS_x000a_DE LA LISTA ...!!" sqref="F2:G2" xr:uid="{00000000-0002-0000-0000-000000000000}">
      <formula1>$J$1:$J$11</formula1>
    </dataValidation>
    <dataValidation type="date" operator="greaterThanOrEqual" allowBlank="1" showInputMessage="1" showErrorMessage="1" error="Fecha mal _x000a_ingresada_x000a_(00-00-2024)" sqref="F3:G3" xr:uid="{00000000-0002-0000-0000-000001000000}">
      <formula1>45352</formula1>
    </dataValidation>
    <dataValidation type="whole" allowBlank="1" showInputMessage="1" showErrorMessage="1" error="¡¡¡¡¡¡....Ingresar_x000a_solo_x000a_ numeros...!!!!!!!" sqref="F6:G291 C6:D291" xr:uid="{00000000-0002-0000-0000-000002000000}">
      <formula1>0</formula1>
      <formula2>500000</formula2>
    </dataValidation>
  </dataValidations>
  <pageMargins left="0.31496062992125984" right="0" top="0.55118110236220474" bottom="0.55118110236220474" header="0.31496062992125984" footer="0.31496062992125984"/>
  <pageSetup scale="80" orientation="landscape" horizontalDpi="0" verticalDpi="0" r:id="rId1"/>
  <colBreaks count="1" manualBreakCount="1">
    <brk id="7" max="1048575" man="1"/>
  </col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46"/>
  <sheetViews>
    <sheetView zoomScale="86" zoomScaleNormal="86" workbookViewId="0">
      <pane ySplit="5" topLeftCell="A145" activePane="bottomLeft" state="frozen"/>
      <selection pane="bottomLeft" activeCell="F3" sqref="F3:G3"/>
    </sheetView>
  </sheetViews>
  <sheetFormatPr baseColWidth="10" defaultColWidth="11.42578125" defaultRowHeight="15" customHeight="1" x14ac:dyDescent="0.25"/>
  <cols>
    <col min="1" max="1" width="14.7109375" style="2" customWidth="1"/>
    <col min="2" max="2" width="54" style="10" customWidth="1"/>
    <col min="3" max="3" width="17.28515625" style="2" customWidth="1"/>
    <col min="4" max="4" width="14.7109375" style="2" customWidth="1"/>
    <col min="5" max="5" width="18.7109375" style="2" customWidth="1"/>
    <col min="6" max="6" width="17" style="2" customWidth="1"/>
    <col min="7" max="7" width="22.140625" style="2" customWidth="1"/>
    <col min="8" max="9" width="11.42578125" style="2"/>
    <col min="10" max="10" width="0" style="2" hidden="1" customWidth="1"/>
    <col min="11" max="16384" width="11.42578125" style="2"/>
  </cols>
  <sheetData>
    <row r="1" spans="1:10" ht="15" customHeight="1" x14ac:dyDescent="0.25">
      <c r="A1" s="30"/>
      <c r="B1" s="1"/>
      <c r="J1" s="2" t="s">
        <v>0</v>
      </c>
    </row>
    <row r="2" spans="1:10" ht="15" customHeight="1" x14ac:dyDescent="0.25">
      <c r="A2" s="30"/>
      <c r="B2" s="31" t="s">
        <v>1</v>
      </c>
      <c r="C2" s="31"/>
      <c r="D2" s="31"/>
      <c r="E2" s="3" t="s">
        <v>2</v>
      </c>
      <c r="F2" s="32" t="s">
        <v>5</v>
      </c>
      <c r="G2" s="32"/>
      <c r="J2" s="2" t="s">
        <v>3</v>
      </c>
    </row>
    <row r="3" spans="1:10" ht="15" customHeight="1" x14ac:dyDescent="0.25">
      <c r="A3" s="30"/>
      <c r="B3" s="31"/>
      <c r="C3" s="31"/>
      <c r="D3" s="31"/>
      <c r="E3" s="3" t="s">
        <v>4</v>
      </c>
      <c r="F3" s="33"/>
      <c r="G3" s="33"/>
      <c r="J3" s="2" t="s">
        <v>5</v>
      </c>
    </row>
    <row r="4" spans="1:10" ht="15" customHeight="1" x14ac:dyDescent="0.25">
      <c r="A4" s="30"/>
      <c r="B4" s="1"/>
      <c r="J4" s="2" t="s">
        <v>6</v>
      </c>
    </row>
    <row r="5" spans="1:10" ht="15" customHeight="1" x14ac:dyDescent="0.25">
      <c r="A5" s="4" t="s">
        <v>7</v>
      </c>
      <c r="B5" s="5" t="s">
        <v>8</v>
      </c>
      <c r="C5" s="6" t="s">
        <v>9</v>
      </c>
      <c r="D5" s="6" t="s">
        <v>10</v>
      </c>
      <c r="E5" s="6" t="s">
        <v>11</v>
      </c>
      <c r="F5" s="6" t="s">
        <v>12</v>
      </c>
      <c r="G5" s="7" t="s">
        <v>13</v>
      </c>
      <c r="J5" s="2" t="s">
        <v>14</v>
      </c>
    </row>
    <row r="6" spans="1:10" ht="15" customHeight="1" x14ac:dyDescent="0.25">
      <c r="A6" s="8" t="s">
        <v>36</v>
      </c>
      <c r="B6" s="8" t="s">
        <v>310</v>
      </c>
      <c r="C6" s="26"/>
      <c r="D6" s="26"/>
      <c r="E6" s="20">
        <f>-(Tabla2[[#This Row],[STOCK ACTUAL]]-Tabla2[[#This Row],[CONSUMO MENSUAL]]*1.15)</f>
        <v>0</v>
      </c>
      <c r="F6" s="27"/>
      <c r="G6" s="11"/>
      <c r="J6" s="2" t="s">
        <v>311</v>
      </c>
    </row>
    <row r="7" spans="1:10" ht="15" customHeight="1" x14ac:dyDescent="0.25">
      <c r="A7" s="8" t="s">
        <v>36</v>
      </c>
      <c r="B7" s="8" t="s">
        <v>312</v>
      </c>
      <c r="C7" s="26"/>
      <c r="D7" s="26"/>
      <c r="E7" s="20">
        <f>-(Tabla2[[#This Row],[STOCK ACTUAL]]-Tabla2[[#This Row],[CONSUMO MENSUAL]]*1.15)</f>
        <v>0</v>
      </c>
      <c r="F7" s="27"/>
      <c r="G7" s="11"/>
      <c r="J7" s="2" t="s">
        <v>17</v>
      </c>
    </row>
    <row r="8" spans="1:10" ht="15" customHeight="1" x14ac:dyDescent="0.25">
      <c r="A8" s="8" t="s">
        <v>36</v>
      </c>
      <c r="B8" s="8" t="s">
        <v>313</v>
      </c>
      <c r="C8" s="19"/>
      <c r="D8" s="19"/>
      <c r="E8" s="20">
        <f>-(Tabla2[[#This Row],[STOCK ACTUAL]]-Tabla2[[#This Row],[CONSUMO MENSUAL]]*1.15)</f>
        <v>0</v>
      </c>
      <c r="F8" s="12"/>
      <c r="G8" s="11"/>
      <c r="J8" s="2" t="s">
        <v>20</v>
      </c>
    </row>
    <row r="9" spans="1:10" ht="15" customHeight="1" x14ac:dyDescent="0.25">
      <c r="A9" s="8" t="s">
        <v>45</v>
      </c>
      <c r="B9" s="8" t="s">
        <v>314</v>
      </c>
      <c r="C9" s="19"/>
      <c r="D9" s="19"/>
      <c r="E9" s="20">
        <f>-(Tabla2[[#This Row],[STOCK ACTUAL]]-Tabla2[[#This Row],[CONSUMO MENSUAL]]*1.15)</f>
        <v>0</v>
      </c>
      <c r="F9" s="12"/>
      <c r="G9" s="11"/>
      <c r="J9" s="2" t="s">
        <v>22</v>
      </c>
    </row>
    <row r="10" spans="1:10" ht="15" customHeight="1" x14ac:dyDescent="0.25">
      <c r="A10" s="8" t="s">
        <v>315</v>
      </c>
      <c r="B10" s="8" t="s">
        <v>316</v>
      </c>
      <c r="C10" s="19"/>
      <c r="D10" s="19"/>
      <c r="E10" s="20">
        <f>-(Tabla2[[#This Row],[STOCK ACTUAL]]-Tabla2[[#This Row],[CONSUMO MENSUAL]]*1.15)</f>
        <v>0</v>
      </c>
      <c r="F10" s="12"/>
      <c r="G10" s="11"/>
      <c r="J10" s="2" t="s">
        <v>24</v>
      </c>
    </row>
    <row r="11" spans="1:10" ht="15" customHeight="1" x14ac:dyDescent="0.25">
      <c r="A11" s="8" t="s">
        <v>45</v>
      </c>
      <c r="B11" s="8" t="s">
        <v>317</v>
      </c>
      <c r="C11" s="19"/>
      <c r="D11" s="19"/>
      <c r="E11" s="20">
        <f>-(Tabla2[[#This Row],[STOCK ACTUAL]]-Tabla2[[#This Row],[CONSUMO MENSUAL]]*1.15)</f>
        <v>0</v>
      </c>
      <c r="F11" s="12"/>
      <c r="G11" s="11"/>
      <c r="J11" s="2" t="s">
        <v>27</v>
      </c>
    </row>
    <row r="12" spans="1:10" ht="15" customHeight="1" x14ac:dyDescent="0.25">
      <c r="A12" s="8" t="s">
        <v>45</v>
      </c>
      <c r="B12" s="8" t="s">
        <v>318</v>
      </c>
      <c r="C12" s="19"/>
      <c r="D12" s="19"/>
      <c r="E12" s="20">
        <f>-(Tabla2[[#This Row],[STOCK ACTUAL]]-Tabla2[[#This Row],[CONSUMO MENSUAL]]*1.15)</f>
        <v>0</v>
      </c>
      <c r="F12" s="12"/>
      <c r="G12" s="11"/>
      <c r="J12" s="2" t="s">
        <v>29</v>
      </c>
    </row>
    <row r="13" spans="1:10" ht="15" customHeight="1" x14ac:dyDescent="0.25">
      <c r="A13" s="8" t="s">
        <v>45</v>
      </c>
      <c r="B13" s="8" t="s">
        <v>319</v>
      </c>
      <c r="C13" s="19"/>
      <c r="D13" s="19"/>
      <c r="E13" s="20">
        <f>-(Tabla2[[#This Row],[STOCK ACTUAL]]-Tabla2[[#This Row],[CONSUMO MENSUAL]]*1.15)</f>
        <v>0</v>
      </c>
      <c r="F13" s="12"/>
      <c r="G13" s="11"/>
    </row>
    <row r="14" spans="1:10" ht="15" customHeight="1" x14ac:dyDescent="0.25">
      <c r="A14" s="8" t="s">
        <v>45</v>
      </c>
      <c r="B14" s="8" t="s">
        <v>320</v>
      </c>
      <c r="C14" s="19"/>
      <c r="D14" s="19"/>
      <c r="E14" s="20">
        <f>-(Tabla2[[#This Row],[STOCK ACTUAL]]-Tabla2[[#This Row],[CONSUMO MENSUAL]]*1.15)</f>
        <v>0</v>
      </c>
      <c r="F14" s="12"/>
      <c r="G14" s="11"/>
    </row>
    <row r="15" spans="1:10" ht="15" customHeight="1" x14ac:dyDescent="0.25">
      <c r="A15" s="8" t="s">
        <v>45</v>
      </c>
      <c r="B15" s="8" t="s">
        <v>321</v>
      </c>
      <c r="C15" s="19"/>
      <c r="D15" s="19"/>
      <c r="E15" s="20">
        <f>-(Tabla2[[#This Row],[STOCK ACTUAL]]-Tabla2[[#This Row],[CONSUMO MENSUAL]]*1.15)</f>
        <v>0</v>
      </c>
      <c r="F15" s="12"/>
      <c r="G15" s="11"/>
    </row>
    <row r="16" spans="1:10" ht="15" customHeight="1" x14ac:dyDescent="0.25">
      <c r="A16" s="8" t="s">
        <v>45</v>
      </c>
      <c r="B16" s="8" t="s">
        <v>322</v>
      </c>
      <c r="C16" s="19"/>
      <c r="D16" s="19"/>
      <c r="E16" s="20">
        <f>-(Tabla2[[#This Row],[STOCK ACTUAL]]-Tabla2[[#This Row],[CONSUMO MENSUAL]]*1.15)</f>
        <v>0</v>
      </c>
      <c r="F16" s="12"/>
      <c r="G16" s="11"/>
    </row>
    <row r="17" spans="1:7" ht="15" customHeight="1" x14ac:dyDescent="0.25">
      <c r="A17" s="8" t="s">
        <v>45</v>
      </c>
      <c r="B17" s="8" t="s">
        <v>323</v>
      </c>
      <c r="C17" s="19"/>
      <c r="D17" s="19"/>
      <c r="E17" s="20">
        <f>-(Tabla2[[#This Row],[STOCK ACTUAL]]-Tabla2[[#This Row],[CONSUMO MENSUAL]]*1.15)</f>
        <v>0</v>
      </c>
      <c r="F17" s="12"/>
      <c r="G17" s="11"/>
    </row>
    <row r="18" spans="1:7" ht="15" customHeight="1" x14ac:dyDescent="0.25">
      <c r="A18" s="8" t="s">
        <v>45</v>
      </c>
      <c r="B18" s="8" t="s">
        <v>324</v>
      </c>
      <c r="C18" s="19"/>
      <c r="D18" s="19"/>
      <c r="E18" s="20">
        <f>-(Tabla2[[#This Row],[STOCK ACTUAL]]-Tabla2[[#This Row],[CONSUMO MENSUAL]]*1.15)</f>
        <v>0</v>
      </c>
      <c r="F18" s="12"/>
      <c r="G18" s="11"/>
    </row>
    <row r="19" spans="1:7" ht="15" customHeight="1" x14ac:dyDescent="0.25">
      <c r="A19" s="8" t="s">
        <v>45</v>
      </c>
      <c r="B19" s="8" t="s">
        <v>325</v>
      </c>
      <c r="C19" s="19"/>
      <c r="D19" s="19"/>
      <c r="E19" s="20">
        <f>-(Tabla2[[#This Row],[STOCK ACTUAL]]-Tabla2[[#This Row],[CONSUMO MENSUAL]]*1.15)</f>
        <v>0</v>
      </c>
      <c r="F19" s="12"/>
      <c r="G19" s="11"/>
    </row>
    <row r="20" spans="1:7" ht="15" customHeight="1" x14ac:dyDescent="0.25">
      <c r="A20" s="8" t="s">
        <v>45</v>
      </c>
      <c r="B20" s="8" t="s">
        <v>326</v>
      </c>
      <c r="C20" s="19"/>
      <c r="D20" s="19"/>
      <c r="E20" s="20">
        <f>-(Tabla2[[#This Row],[STOCK ACTUAL]]-Tabla2[[#This Row],[CONSUMO MENSUAL]]*1.15)</f>
        <v>0</v>
      </c>
      <c r="F20" s="12"/>
      <c r="G20" s="11"/>
    </row>
    <row r="21" spans="1:7" ht="15" customHeight="1" x14ac:dyDescent="0.25">
      <c r="A21" s="8" t="s">
        <v>45</v>
      </c>
      <c r="B21" s="8" t="s">
        <v>327</v>
      </c>
      <c r="C21" s="19"/>
      <c r="D21" s="19"/>
      <c r="E21" s="20">
        <f>-(Tabla2[[#This Row],[STOCK ACTUAL]]-Tabla2[[#This Row],[CONSUMO MENSUAL]]*1.15)</f>
        <v>0</v>
      </c>
      <c r="F21" s="12"/>
      <c r="G21" s="11"/>
    </row>
    <row r="22" spans="1:7" ht="15" customHeight="1" x14ac:dyDescent="0.25">
      <c r="A22" s="8" t="s">
        <v>45</v>
      </c>
      <c r="B22" s="8" t="s">
        <v>328</v>
      </c>
      <c r="C22" s="19"/>
      <c r="D22" s="19"/>
      <c r="E22" s="20">
        <f>-(Tabla2[[#This Row],[STOCK ACTUAL]]-Tabla2[[#This Row],[CONSUMO MENSUAL]]*1.15)</f>
        <v>0</v>
      </c>
      <c r="F22" s="12"/>
      <c r="G22" s="11"/>
    </row>
    <row r="23" spans="1:7" ht="15" customHeight="1" x14ac:dyDescent="0.25">
      <c r="A23" s="8" t="s">
        <v>45</v>
      </c>
      <c r="B23" s="8" t="s">
        <v>329</v>
      </c>
      <c r="C23" s="19"/>
      <c r="D23" s="19"/>
      <c r="E23" s="20">
        <f>-(Tabla2[[#This Row],[STOCK ACTUAL]]-Tabla2[[#This Row],[CONSUMO MENSUAL]]*1.15)</f>
        <v>0</v>
      </c>
      <c r="F23" s="12"/>
      <c r="G23" s="11"/>
    </row>
    <row r="24" spans="1:7" ht="15" customHeight="1" x14ac:dyDescent="0.25">
      <c r="A24" s="8" t="s">
        <v>45</v>
      </c>
      <c r="B24" s="8" t="s">
        <v>330</v>
      </c>
      <c r="C24" s="19"/>
      <c r="D24" s="19"/>
      <c r="E24" s="20">
        <f>-(Tabla2[[#This Row],[STOCK ACTUAL]]-Tabla2[[#This Row],[CONSUMO MENSUAL]]*1.15)</f>
        <v>0</v>
      </c>
      <c r="F24" s="12"/>
      <c r="G24" s="11"/>
    </row>
    <row r="25" spans="1:7" ht="15" customHeight="1" x14ac:dyDescent="0.25">
      <c r="A25" s="8" t="s">
        <v>45</v>
      </c>
      <c r="B25" s="8" t="s">
        <v>331</v>
      </c>
      <c r="C25" s="19"/>
      <c r="D25" s="19"/>
      <c r="E25" s="20">
        <f>-(Tabla2[[#This Row],[STOCK ACTUAL]]-Tabla2[[#This Row],[CONSUMO MENSUAL]]*1.15)</f>
        <v>0</v>
      </c>
      <c r="F25" s="12"/>
      <c r="G25" s="11"/>
    </row>
    <row r="26" spans="1:7" ht="15" customHeight="1" x14ac:dyDescent="0.25">
      <c r="A26" s="8" t="s">
        <v>45</v>
      </c>
      <c r="B26" s="8" t="s">
        <v>332</v>
      </c>
      <c r="C26" s="19"/>
      <c r="D26" s="19"/>
      <c r="E26" s="20">
        <f>-(Tabla2[[#This Row],[STOCK ACTUAL]]-Tabla2[[#This Row],[CONSUMO MENSUAL]]*1.15)</f>
        <v>0</v>
      </c>
      <c r="F26" s="12"/>
      <c r="G26" s="11"/>
    </row>
    <row r="27" spans="1:7" ht="15" customHeight="1" x14ac:dyDescent="0.25">
      <c r="A27" s="8" t="s">
        <v>45</v>
      </c>
      <c r="B27" s="8" t="s">
        <v>333</v>
      </c>
      <c r="C27" s="19"/>
      <c r="D27" s="19"/>
      <c r="E27" s="20">
        <f>-(Tabla2[[#This Row],[STOCK ACTUAL]]-Tabla2[[#This Row],[CONSUMO MENSUAL]]*1.15)</f>
        <v>0</v>
      </c>
      <c r="F27" s="12"/>
      <c r="G27" s="11"/>
    </row>
    <row r="28" spans="1:7" ht="15" customHeight="1" x14ac:dyDescent="0.25">
      <c r="A28" s="8" t="s">
        <v>334</v>
      </c>
      <c r="B28" s="8" t="s">
        <v>335</v>
      </c>
      <c r="C28" s="19"/>
      <c r="D28" s="19"/>
      <c r="E28" s="20">
        <f>-(Tabla2[[#This Row],[STOCK ACTUAL]]-Tabla2[[#This Row],[CONSUMO MENSUAL]]*1.15)</f>
        <v>0</v>
      </c>
      <c r="F28" s="12"/>
      <c r="G28" s="11"/>
    </row>
    <row r="29" spans="1:7" ht="15" customHeight="1" x14ac:dyDescent="0.25">
      <c r="A29" s="8" t="s">
        <v>334</v>
      </c>
      <c r="B29" s="8" t="s">
        <v>336</v>
      </c>
      <c r="C29" s="19"/>
      <c r="D29" s="19"/>
      <c r="E29" s="20">
        <f>-(Tabla2[[#This Row],[STOCK ACTUAL]]-Tabla2[[#This Row],[CONSUMO MENSUAL]]*1.15)</f>
        <v>0</v>
      </c>
      <c r="F29" s="12"/>
      <c r="G29" s="11"/>
    </row>
    <row r="30" spans="1:7" ht="15" customHeight="1" x14ac:dyDescent="0.25">
      <c r="A30" s="8" t="s">
        <v>45</v>
      </c>
      <c r="B30" s="8" t="s">
        <v>337</v>
      </c>
      <c r="C30" s="19"/>
      <c r="D30" s="19"/>
      <c r="E30" s="20">
        <f>-(Tabla2[[#This Row],[STOCK ACTUAL]]-Tabla2[[#This Row],[CONSUMO MENSUAL]]*1.15)</f>
        <v>0</v>
      </c>
      <c r="F30" s="12"/>
      <c r="G30" s="11"/>
    </row>
    <row r="31" spans="1:7" ht="15" customHeight="1" x14ac:dyDescent="0.25">
      <c r="A31" s="8" t="s">
        <v>334</v>
      </c>
      <c r="B31" s="8" t="s">
        <v>338</v>
      </c>
      <c r="C31" s="19"/>
      <c r="D31" s="19"/>
      <c r="E31" s="20">
        <f>-(Tabla2[[#This Row],[STOCK ACTUAL]]-Tabla2[[#This Row],[CONSUMO MENSUAL]]*1.15)</f>
        <v>0</v>
      </c>
      <c r="F31" s="12"/>
      <c r="G31" s="11"/>
    </row>
    <row r="32" spans="1:7" ht="15" customHeight="1" x14ac:dyDescent="0.25">
      <c r="A32" s="8" t="s">
        <v>45</v>
      </c>
      <c r="B32" s="8" t="s">
        <v>339</v>
      </c>
      <c r="C32" s="19"/>
      <c r="D32" s="19"/>
      <c r="E32" s="20">
        <f>-(Tabla2[[#This Row],[STOCK ACTUAL]]-Tabla2[[#This Row],[CONSUMO MENSUAL]]*1.15)</f>
        <v>0</v>
      </c>
      <c r="F32" s="12"/>
      <c r="G32" s="11"/>
    </row>
    <row r="33" spans="1:7" ht="15" customHeight="1" x14ac:dyDescent="0.25">
      <c r="A33" s="8" t="s">
        <v>45</v>
      </c>
      <c r="B33" s="8" t="s">
        <v>340</v>
      </c>
      <c r="C33" s="19"/>
      <c r="D33" s="19"/>
      <c r="E33" s="20">
        <f>-(Tabla2[[#This Row],[STOCK ACTUAL]]-Tabla2[[#This Row],[CONSUMO MENSUAL]]*1.15)</f>
        <v>0</v>
      </c>
      <c r="F33" s="12"/>
      <c r="G33" s="11"/>
    </row>
    <row r="34" spans="1:7" ht="15" customHeight="1" x14ac:dyDescent="0.25">
      <c r="A34" s="8" t="s">
        <v>45</v>
      </c>
      <c r="B34" s="8" t="s">
        <v>341</v>
      </c>
      <c r="C34" s="19"/>
      <c r="D34" s="19"/>
      <c r="E34" s="20">
        <f>-(Tabla2[[#This Row],[STOCK ACTUAL]]-Tabla2[[#This Row],[CONSUMO MENSUAL]]*1.15)</f>
        <v>0</v>
      </c>
      <c r="F34" s="12"/>
      <c r="G34" s="11"/>
    </row>
    <row r="35" spans="1:7" ht="15" customHeight="1" x14ac:dyDescent="0.25">
      <c r="A35" s="8" t="s">
        <v>45</v>
      </c>
      <c r="B35" s="8" t="s">
        <v>342</v>
      </c>
      <c r="C35" s="19"/>
      <c r="D35" s="19"/>
      <c r="E35" s="20">
        <f>-(Tabla2[[#This Row],[STOCK ACTUAL]]-Tabla2[[#This Row],[CONSUMO MENSUAL]]*1.15)</f>
        <v>0</v>
      </c>
      <c r="F35" s="12"/>
      <c r="G35" s="11"/>
    </row>
    <row r="36" spans="1:7" ht="15" customHeight="1" x14ac:dyDescent="0.25">
      <c r="A36" s="8" t="s">
        <v>45</v>
      </c>
      <c r="B36" s="8" t="s">
        <v>343</v>
      </c>
      <c r="C36" s="19"/>
      <c r="D36" s="19"/>
      <c r="E36" s="20">
        <f>-(Tabla2[[#This Row],[STOCK ACTUAL]]-Tabla2[[#This Row],[CONSUMO MENSUAL]]*1.15)</f>
        <v>0</v>
      </c>
      <c r="F36" s="12"/>
      <c r="G36" s="11"/>
    </row>
    <row r="37" spans="1:7" ht="15" customHeight="1" x14ac:dyDescent="0.25">
      <c r="A37" s="8" t="s">
        <v>45</v>
      </c>
      <c r="B37" s="8" t="s">
        <v>344</v>
      </c>
      <c r="C37" s="19"/>
      <c r="D37" s="19"/>
      <c r="E37" s="20">
        <f>-(Tabla2[[#This Row],[STOCK ACTUAL]]-Tabla2[[#This Row],[CONSUMO MENSUAL]]*1.15)</f>
        <v>0</v>
      </c>
      <c r="F37" s="12"/>
      <c r="G37" s="11"/>
    </row>
    <row r="38" spans="1:7" ht="15" customHeight="1" x14ac:dyDescent="0.25">
      <c r="A38" s="8" t="s">
        <v>45</v>
      </c>
      <c r="B38" s="8" t="s">
        <v>345</v>
      </c>
      <c r="C38" s="19"/>
      <c r="D38" s="19"/>
      <c r="E38" s="20">
        <f>-(Tabla2[[#This Row],[STOCK ACTUAL]]-Tabla2[[#This Row],[CONSUMO MENSUAL]]*1.15)</f>
        <v>0</v>
      </c>
      <c r="F38" s="12"/>
      <c r="G38" s="11"/>
    </row>
    <row r="39" spans="1:7" ht="15" customHeight="1" x14ac:dyDescent="0.25">
      <c r="A39" s="8" t="s">
        <v>45</v>
      </c>
      <c r="B39" s="8" t="s">
        <v>346</v>
      </c>
      <c r="C39" s="19"/>
      <c r="D39" s="19"/>
      <c r="E39" s="20">
        <f>-(Tabla2[[#This Row],[STOCK ACTUAL]]-Tabla2[[#This Row],[CONSUMO MENSUAL]]*1.15)</f>
        <v>0</v>
      </c>
      <c r="F39" s="12"/>
      <c r="G39" s="11"/>
    </row>
    <row r="40" spans="1:7" ht="15" customHeight="1" x14ac:dyDescent="0.25">
      <c r="A40" s="8" t="s">
        <v>45</v>
      </c>
      <c r="B40" s="8" t="s">
        <v>347</v>
      </c>
      <c r="C40" s="19"/>
      <c r="D40" s="19"/>
      <c r="E40" s="20">
        <f>-(Tabla2[[#This Row],[STOCK ACTUAL]]-Tabla2[[#This Row],[CONSUMO MENSUAL]]*1.15)</f>
        <v>0</v>
      </c>
      <c r="F40" s="12"/>
      <c r="G40" s="11"/>
    </row>
    <row r="41" spans="1:7" ht="15" customHeight="1" x14ac:dyDescent="0.25">
      <c r="A41" s="8" t="s">
        <v>45</v>
      </c>
      <c r="B41" s="8" t="s">
        <v>348</v>
      </c>
      <c r="C41" s="19"/>
      <c r="D41" s="19"/>
      <c r="E41" s="20">
        <f>-(Tabla2[[#This Row],[STOCK ACTUAL]]-Tabla2[[#This Row],[CONSUMO MENSUAL]]*1.15)</f>
        <v>0</v>
      </c>
      <c r="F41" s="12"/>
      <c r="G41" s="11"/>
    </row>
    <row r="42" spans="1:7" ht="15" customHeight="1" x14ac:dyDescent="0.25">
      <c r="A42" s="8" t="s">
        <v>45</v>
      </c>
      <c r="B42" s="8" t="s">
        <v>349</v>
      </c>
      <c r="C42" s="19"/>
      <c r="D42" s="19"/>
      <c r="E42" s="20">
        <f>-(Tabla2[[#This Row],[STOCK ACTUAL]]-Tabla2[[#This Row],[CONSUMO MENSUAL]]*1.15)</f>
        <v>0</v>
      </c>
      <c r="F42" s="12"/>
      <c r="G42" s="11"/>
    </row>
    <row r="43" spans="1:7" ht="15" customHeight="1" x14ac:dyDescent="0.25">
      <c r="A43" s="8" t="s">
        <v>45</v>
      </c>
      <c r="B43" s="8" t="s">
        <v>350</v>
      </c>
      <c r="C43" s="19"/>
      <c r="D43" s="19"/>
      <c r="E43" s="20">
        <f>-(Tabla2[[#This Row],[STOCK ACTUAL]]-Tabla2[[#This Row],[CONSUMO MENSUAL]]*1.15)</f>
        <v>0</v>
      </c>
      <c r="F43" s="12"/>
      <c r="G43" s="11"/>
    </row>
    <row r="44" spans="1:7" ht="15" customHeight="1" x14ac:dyDescent="0.25">
      <c r="A44" s="8" t="s">
        <v>45</v>
      </c>
      <c r="B44" s="8" t="s">
        <v>351</v>
      </c>
      <c r="C44" s="19"/>
      <c r="D44" s="19"/>
      <c r="E44" s="20">
        <f>-(Tabla2[[#This Row],[STOCK ACTUAL]]-Tabla2[[#This Row],[CONSUMO MENSUAL]]*1.15)</f>
        <v>0</v>
      </c>
      <c r="F44" s="12"/>
      <c r="G44" s="11"/>
    </row>
    <row r="45" spans="1:7" ht="15" customHeight="1" x14ac:dyDescent="0.25">
      <c r="A45" s="8" t="s">
        <v>45</v>
      </c>
      <c r="B45" s="8" t="s">
        <v>352</v>
      </c>
      <c r="C45" s="19"/>
      <c r="D45" s="19"/>
      <c r="E45" s="20">
        <f>-(Tabla2[[#This Row],[STOCK ACTUAL]]-Tabla2[[#This Row],[CONSUMO MENSUAL]]*1.15)</f>
        <v>0</v>
      </c>
      <c r="F45" s="12"/>
      <c r="G45" s="11"/>
    </row>
    <row r="46" spans="1:7" ht="15" customHeight="1" x14ac:dyDescent="0.25">
      <c r="A46" s="8" t="s">
        <v>45</v>
      </c>
      <c r="B46" s="8" t="s">
        <v>353</v>
      </c>
      <c r="C46" s="19"/>
      <c r="D46" s="19"/>
      <c r="E46" s="20">
        <f>-(Tabla2[[#This Row],[STOCK ACTUAL]]-Tabla2[[#This Row],[CONSUMO MENSUAL]]*1.15)</f>
        <v>0</v>
      </c>
      <c r="F46" s="12"/>
      <c r="G46" s="11"/>
    </row>
    <row r="47" spans="1:7" ht="15" customHeight="1" x14ac:dyDescent="0.25">
      <c r="A47" s="8" t="s">
        <v>45</v>
      </c>
      <c r="B47" s="8" t="s">
        <v>354</v>
      </c>
      <c r="C47" s="19"/>
      <c r="D47" s="19"/>
      <c r="E47" s="20">
        <f>-(Tabla2[[#This Row],[STOCK ACTUAL]]-Tabla2[[#This Row],[CONSUMO MENSUAL]]*1.15)</f>
        <v>0</v>
      </c>
      <c r="F47" s="12"/>
      <c r="G47" s="11"/>
    </row>
    <row r="48" spans="1:7" ht="15" customHeight="1" x14ac:dyDescent="0.25">
      <c r="A48" s="8" t="s">
        <v>45</v>
      </c>
      <c r="B48" s="8" t="s">
        <v>355</v>
      </c>
      <c r="C48" s="19"/>
      <c r="D48" s="19"/>
      <c r="E48" s="20">
        <f>-(Tabla2[[#This Row],[STOCK ACTUAL]]-Tabla2[[#This Row],[CONSUMO MENSUAL]]*1.15)</f>
        <v>0</v>
      </c>
      <c r="F48" s="12"/>
      <c r="G48" s="11"/>
    </row>
    <row r="49" spans="1:7" ht="15" customHeight="1" x14ac:dyDescent="0.25">
      <c r="A49" s="8" t="s">
        <v>45</v>
      </c>
      <c r="B49" s="8" t="s">
        <v>356</v>
      </c>
      <c r="C49" s="19"/>
      <c r="D49" s="19"/>
      <c r="E49" s="20">
        <f>-(Tabla2[[#This Row],[STOCK ACTUAL]]-Tabla2[[#This Row],[CONSUMO MENSUAL]]*1.15)</f>
        <v>0</v>
      </c>
      <c r="F49" s="12"/>
      <c r="G49" s="11"/>
    </row>
    <row r="50" spans="1:7" ht="15" customHeight="1" x14ac:dyDescent="0.25">
      <c r="A50" s="8" t="s">
        <v>45</v>
      </c>
      <c r="B50" s="8" t="s">
        <v>357</v>
      </c>
      <c r="C50" s="19"/>
      <c r="D50" s="19"/>
      <c r="E50" s="20">
        <f>-(Tabla2[[#This Row],[STOCK ACTUAL]]-Tabla2[[#This Row],[CONSUMO MENSUAL]]*1.15)</f>
        <v>0</v>
      </c>
      <c r="F50" s="12"/>
      <c r="G50" s="11"/>
    </row>
    <row r="51" spans="1:7" ht="15" customHeight="1" x14ac:dyDescent="0.25">
      <c r="A51" s="8" t="s">
        <v>45</v>
      </c>
      <c r="B51" s="8" t="s">
        <v>358</v>
      </c>
      <c r="C51" s="19"/>
      <c r="D51" s="19"/>
      <c r="E51" s="20">
        <f>-(Tabla2[[#This Row],[STOCK ACTUAL]]-Tabla2[[#This Row],[CONSUMO MENSUAL]]*1.15)</f>
        <v>0</v>
      </c>
      <c r="F51" s="12"/>
      <c r="G51" s="11"/>
    </row>
    <row r="52" spans="1:7" ht="15" customHeight="1" x14ac:dyDescent="0.25">
      <c r="A52" s="8" t="s">
        <v>45</v>
      </c>
      <c r="B52" s="8" t="s">
        <v>359</v>
      </c>
      <c r="C52" s="19"/>
      <c r="D52" s="19"/>
      <c r="E52" s="20">
        <f>-(Tabla2[[#This Row],[STOCK ACTUAL]]-Tabla2[[#This Row],[CONSUMO MENSUAL]]*1.15)</f>
        <v>0</v>
      </c>
      <c r="F52" s="12"/>
      <c r="G52" s="11"/>
    </row>
    <row r="53" spans="1:7" ht="15" customHeight="1" x14ac:dyDescent="0.25">
      <c r="A53" s="8" t="s">
        <v>45</v>
      </c>
      <c r="B53" s="8" t="s">
        <v>360</v>
      </c>
      <c r="C53" s="19"/>
      <c r="D53" s="19"/>
      <c r="E53" s="20">
        <f>-(Tabla2[[#This Row],[STOCK ACTUAL]]-Tabla2[[#This Row],[CONSUMO MENSUAL]]*1.15)</f>
        <v>0</v>
      </c>
      <c r="F53" s="12"/>
      <c r="G53" s="11"/>
    </row>
    <row r="54" spans="1:7" ht="15" customHeight="1" x14ac:dyDescent="0.25">
      <c r="A54" s="8" t="s">
        <v>45</v>
      </c>
      <c r="B54" s="8" t="s">
        <v>361</v>
      </c>
      <c r="C54" s="19"/>
      <c r="D54" s="19"/>
      <c r="E54" s="20">
        <f>-(Tabla2[[#This Row],[STOCK ACTUAL]]-Tabla2[[#This Row],[CONSUMO MENSUAL]]*1.15)</f>
        <v>0</v>
      </c>
      <c r="F54" s="12"/>
      <c r="G54" s="11"/>
    </row>
    <row r="55" spans="1:7" ht="15" customHeight="1" x14ac:dyDescent="0.25">
      <c r="A55" s="8" t="s">
        <v>45</v>
      </c>
      <c r="B55" s="8" t="s">
        <v>362</v>
      </c>
      <c r="C55" s="19"/>
      <c r="D55" s="19"/>
      <c r="E55" s="20">
        <f>-(Tabla2[[#This Row],[STOCK ACTUAL]]-Tabla2[[#This Row],[CONSUMO MENSUAL]]*1.15)</f>
        <v>0</v>
      </c>
      <c r="F55" s="12"/>
      <c r="G55" s="11"/>
    </row>
    <row r="56" spans="1:7" ht="15" customHeight="1" x14ac:dyDescent="0.25">
      <c r="A56" s="8" t="s">
        <v>45</v>
      </c>
      <c r="B56" s="8" t="s">
        <v>363</v>
      </c>
      <c r="C56" s="19"/>
      <c r="D56" s="19"/>
      <c r="E56" s="20">
        <f>-(Tabla2[[#This Row],[STOCK ACTUAL]]-Tabla2[[#This Row],[CONSUMO MENSUAL]]*1.15)</f>
        <v>0</v>
      </c>
      <c r="F56" s="12"/>
      <c r="G56" s="11"/>
    </row>
    <row r="57" spans="1:7" ht="15" customHeight="1" x14ac:dyDescent="0.25">
      <c r="A57" s="8" t="s">
        <v>45</v>
      </c>
      <c r="B57" s="8" t="s">
        <v>364</v>
      </c>
      <c r="C57" s="19"/>
      <c r="D57" s="19"/>
      <c r="E57" s="20">
        <f>-(Tabla2[[#This Row],[STOCK ACTUAL]]-Tabla2[[#This Row],[CONSUMO MENSUAL]]*1.15)</f>
        <v>0</v>
      </c>
      <c r="F57" s="12"/>
      <c r="G57" s="11"/>
    </row>
    <row r="58" spans="1:7" ht="15" customHeight="1" x14ac:dyDescent="0.25">
      <c r="A58" s="8" t="s">
        <v>365</v>
      </c>
      <c r="B58" s="8" t="s">
        <v>366</v>
      </c>
      <c r="C58" s="19"/>
      <c r="D58" s="19"/>
      <c r="E58" s="20">
        <f>-(Tabla2[[#This Row],[STOCK ACTUAL]]-Tabla2[[#This Row],[CONSUMO MENSUAL]]*1.15)</f>
        <v>0</v>
      </c>
      <c r="F58" s="12"/>
      <c r="G58" s="11"/>
    </row>
    <row r="59" spans="1:7" ht="15" customHeight="1" x14ac:dyDescent="0.25">
      <c r="A59" s="8" t="s">
        <v>45</v>
      </c>
      <c r="B59" s="8" t="s">
        <v>367</v>
      </c>
      <c r="C59" s="19"/>
      <c r="D59" s="19"/>
      <c r="E59" s="20">
        <f>-(Tabla2[[#This Row],[STOCK ACTUAL]]-Tabla2[[#This Row],[CONSUMO MENSUAL]]*1.15)</f>
        <v>0</v>
      </c>
      <c r="F59" s="12"/>
      <c r="G59" s="11"/>
    </row>
    <row r="60" spans="1:7" ht="15" customHeight="1" x14ac:dyDescent="0.25">
      <c r="A60" s="8" t="s">
        <v>45</v>
      </c>
      <c r="B60" s="8" t="s">
        <v>368</v>
      </c>
      <c r="C60" s="19"/>
      <c r="D60" s="19"/>
      <c r="E60" s="20">
        <f>-(Tabla2[[#This Row],[STOCK ACTUAL]]-Tabla2[[#This Row],[CONSUMO MENSUAL]]*1.15)</f>
        <v>0</v>
      </c>
      <c r="F60" s="12"/>
      <c r="G60" s="11"/>
    </row>
    <row r="61" spans="1:7" ht="15" customHeight="1" x14ac:dyDescent="0.25">
      <c r="A61" s="8" t="s">
        <v>45</v>
      </c>
      <c r="B61" s="8" t="s">
        <v>369</v>
      </c>
      <c r="C61" s="19"/>
      <c r="D61" s="19"/>
      <c r="E61" s="20">
        <f>-(Tabla2[[#This Row],[STOCK ACTUAL]]-Tabla2[[#This Row],[CONSUMO MENSUAL]]*1.15)</f>
        <v>0</v>
      </c>
      <c r="F61" s="12"/>
      <c r="G61" s="11"/>
    </row>
    <row r="62" spans="1:7" ht="15" customHeight="1" x14ac:dyDescent="0.25">
      <c r="A62" s="8" t="s">
        <v>45</v>
      </c>
      <c r="B62" s="8" t="s">
        <v>370</v>
      </c>
      <c r="C62" s="19"/>
      <c r="D62" s="19"/>
      <c r="E62" s="20">
        <f>-(Tabla2[[#This Row],[STOCK ACTUAL]]-Tabla2[[#This Row],[CONSUMO MENSUAL]]*1.15)</f>
        <v>0</v>
      </c>
      <c r="F62" s="12"/>
      <c r="G62" s="11"/>
    </row>
    <row r="63" spans="1:7" ht="15" customHeight="1" x14ac:dyDescent="0.25">
      <c r="A63" s="8" t="s">
        <v>45</v>
      </c>
      <c r="B63" s="8" t="s">
        <v>371</v>
      </c>
      <c r="C63" s="19"/>
      <c r="D63" s="19"/>
      <c r="E63" s="20">
        <f>-(Tabla2[[#This Row],[STOCK ACTUAL]]-Tabla2[[#This Row],[CONSUMO MENSUAL]]*1.15)</f>
        <v>0</v>
      </c>
      <c r="F63" s="12"/>
      <c r="G63" s="11"/>
    </row>
    <row r="64" spans="1:7" ht="15" customHeight="1" x14ac:dyDescent="0.25">
      <c r="A64" s="8" t="s">
        <v>45</v>
      </c>
      <c r="B64" s="8" t="s">
        <v>372</v>
      </c>
      <c r="C64" s="19"/>
      <c r="D64" s="19"/>
      <c r="E64" s="20">
        <f>-(Tabla2[[#This Row],[STOCK ACTUAL]]-Tabla2[[#This Row],[CONSUMO MENSUAL]]*1.15)</f>
        <v>0</v>
      </c>
      <c r="F64" s="12"/>
      <c r="G64" s="11"/>
    </row>
    <row r="65" spans="1:7" ht="15" customHeight="1" x14ac:dyDescent="0.25">
      <c r="A65" s="8" t="s">
        <v>45</v>
      </c>
      <c r="B65" s="8" t="s">
        <v>373</v>
      </c>
      <c r="C65" s="19"/>
      <c r="D65" s="19"/>
      <c r="E65" s="20">
        <f>-(Tabla2[[#This Row],[STOCK ACTUAL]]-Tabla2[[#This Row],[CONSUMO MENSUAL]]*1.15)</f>
        <v>0</v>
      </c>
      <c r="F65" s="12"/>
      <c r="G65" s="11"/>
    </row>
    <row r="66" spans="1:7" ht="15" customHeight="1" x14ac:dyDescent="0.25">
      <c r="A66" s="8" t="s">
        <v>45</v>
      </c>
      <c r="B66" s="8" t="s">
        <v>374</v>
      </c>
      <c r="C66" s="19"/>
      <c r="D66" s="19"/>
      <c r="E66" s="20">
        <f>-(Tabla2[[#This Row],[STOCK ACTUAL]]-Tabla2[[#This Row],[CONSUMO MENSUAL]]*1.15)</f>
        <v>0</v>
      </c>
      <c r="F66" s="12"/>
      <c r="G66" s="11"/>
    </row>
    <row r="67" spans="1:7" ht="15" customHeight="1" x14ac:dyDescent="0.25">
      <c r="A67" s="8" t="s">
        <v>45</v>
      </c>
      <c r="B67" s="8" t="s">
        <v>375</v>
      </c>
      <c r="C67" s="19"/>
      <c r="D67" s="19"/>
      <c r="E67" s="20">
        <f>-(Tabla2[[#This Row],[STOCK ACTUAL]]-Tabla2[[#This Row],[CONSUMO MENSUAL]]*1.15)</f>
        <v>0</v>
      </c>
      <c r="F67" s="12"/>
      <c r="G67" s="11"/>
    </row>
    <row r="68" spans="1:7" ht="15" customHeight="1" x14ac:dyDescent="0.25">
      <c r="A68" s="8" t="s">
        <v>45</v>
      </c>
      <c r="B68" s="8" t="s">
        <v>376</v>
      </c>
      <c r="C68" s="19"/>
      <c r="D68" s="19"/>
      <c r="E68" s="20">
        <f>-(Tabla2[[#This Row],[STOCK ACTUAL]]-Tabla2[[#This Row],[CONSUMO MENSUAL]]*1.15)</f>
        <v>0</v>
      </c>
      <c r="F68" s="12"/>
      <c r="G68" s="11"/>
    </row>
    <row r="69" spans="1:7" ht="15" customHeight="1" x14ac:dyDescent="0.25">
      <c r="A69" s="8" t="s">
        <v>334</v>
      </c>
      <c r="B69" s="8" t="s">
        <v>377</v>
      </c>
      <c r="C69" s="19"/>
      <c r="D69" s="19"/>
      <c r="E69" s="20">
        <f>-(Tabla2[[#This Row],[STOCK ACTUAL]]-Tabla2[[#This Row],[CONSUMO MENSUAL]]*1.15)</f>
        <v>0</v>
      </c>
      <c r="F69" s="12"/>
      <c r="G69" s="11"/>
    </row>
    <row r="70" spans="1:7" ht="15" customHeight="1" x14ac:dyDescent="0.25">
      <c r="A70" s="8" t="s">
        <v>18</v>
      </c>
      <c r="B70" s="8" t="s">
        <v>378</v>
      </c>
      <c r="C70" s="19"/>
      <c r="D70" s="19"/>
      <c r="E70" s="20">
        <f>-(Tabla2[[#This Row],[STOCK ACTUAL]]-Tabla2[[#This Row],[CONSUMO MENSUAL]]*1.15)</f>
        <v>0</v>
      </c>
      <c r="F70" s="12"/>
      <c r="G70" s="11"/>
    </row>
    <row r="71" spans="1:7" ht="15" customHeight="1" x14ac:dyDescent="0.25">
      <c r="A71" s="8" t="s">
        <v>45</v>
      </c>
      <c r="B71" s="13" t="s">
        <v>379</v>
      </c>
      <c r="C71" s="19"/>
      <c r="D71" s="19"/>
      <c r="E71" s="20">
        <f>-(Tabla2[[#This Row],[STOCK ACTUAL]]-Tabla2[[#This Row],[CONSUMO MENSUAL]]*1.15)</f>
        <v>0</v>
      </c>
      <c r="F71" s="12"/>
      <c r="G71" s="11"/>
    </row>
    <row r="72" spans="1:7" ht="15" customHeight="1" x14ac:dyDescent="0.25">
      <c r="A72" s="8" t="s">
        <v>36</v>
      </c>
      <c r="B72" s="8" t="s">
        <v>380</v>
      </c>
      <c r="C72" s="19"/>
      <c r="D72" s="19"/>
      <c r="E72" s="20">
        <f>-(Tabla2[[#This Row],[STOCK ACTUAL]]-Tabla2[[#This Row],[CONSUMO MENSUAL]]*1.15)</f>
        <v>0</v>
      </c>
      <c r="F72" s="12"/>
      <c r="G72" s="11"/>
    </row>
    <row r="73" spans="1:7" ht="15" customHeight="1" x14ac:dyDescent="0.25">
      <c r="A73" s="8" t="s">
        <v>45</v>
      </c>
      <c r="B73" s="8" t="s">
        <v>381</v>
      </c>
      <c r="C73" s="19"/>
      <c r="D73" s="19"/>
      <c r="E73" s="20">
        <f>-(Tabla2[[#This Row],[STOCK ACTUAL]]-Tabla2[[#This Row],[CONSUMO MENSUAL]]*1.15)</f>
        <v>0</v>
      </c>
      <c r="F73" s="12"/>
      <c r="G73" s="11"/>
    </row>
    <row r="74" spans="1:7" ht="15" customHeight="1" x14ac:dyDescent="0.25">
      <c r="A74" s="8" t="s">
        <v>45</v>
      </c>
      <c r="B74" s="8" t="s">
        <v>382</v>
      </c>
      <c r="C74" s="19"/>
      <c r="D74" s="19"/>
      <c r="E74" s="20">
        <f>-(Tabla2[[#This Row],[STOCK ACTUAL]]-Tabla2[[#This Row],[CONSUMO MENSUAL]]*1.15)</f>
        <v>0</v>
      </c>
      <c r="F74" s="12"/>
      <c r="G74" s="11"/>
    </row>
    <row r="75" spans="1:7" ht="15" customHeight="1" x14ac:dyDescent="0.25">
      <c r="A75" s="8" t="s">
        <v>45</v>
      </c>
      <c r="B75" s="8" t="s">
        <v>383</v>
      </c>
      <c r="C75" s="19"/>
      <c r="D75" s="19"/>
      <c r="E75" s="20">
        <f>-(Tabla2[[#This Row],[STOCK ACTUAL]]-Tabla2[[#This Row],[CONSUMO MENSUAL]]*1.15)</f>
        <v>0</v>
      </c>
      <c r="F75" s="12"/>
      <c r="G75" s="11"/>
    </row>
    <row r="76" spans="1:7" ht="15" customHeight="1" x14ac:dyDescent="0.25">
      <c r="A76" s="8" t="s">
        <v>45</v>
      </c>
      <c r="B76" s="8" t="s">
        <v>384</v>
      </c>
      <c r="C76" s="19"/>
      <c r="D76" s="19"/>
      <c r="E76" s="20">
        <f>-(Tabla2[[#This Row],[STOCK ACTUAL]]-Tabla2[[#This Row],[CONSUMO MENSUAL]]*1.15)</f>
        <v>0</v>
      </c>
      <c r="F76" s="12"/>
      <c r="G76" s="11"/>
    </row>
    <row r="77" spans="1:7" ht="15" customHeight="1" x14ac:dyDescent="0.25">
      <c r="A77" s="8" t="s">
        <v>45</v>
      </c>
      <c r="B77" s="8" t="s">
        <v>385</v>
      </c>
      <c r="C77" s="19"/>
      <c r="D77" s="19"/>
      <c r="E77" s="20">
        <f>-(Tabla2[[#This Row],[STOCK ACTUAL]]-Tabla2[[#This Row],[CONSUMO MENSUAL]]*1.15)</f>
        <v>0</v>
      </c>
      <c r="F77" s="12"/>
      <c r="G77" s="11"/>
    </row>
    <row r="78" spans="1:7" ht="15" customHeight="1" x14ac:dyDescent="0.25">
      <c r="A78" s="8" t="s">
        <v>45</v>
      </c>
      <c r="B78" s="8" t="s">
        <v>386</v>
      </c>
      <c r="C78" s="19"/>
      <c r="D78" s="19"/>
      <c r="E78" s="20">
        <f>-(Tabla2[[#This Row],[STOCK ACTUAL]]-Tabla2[[#This Row],[CONSUMO MENSUAL]]*1.15)</f>
        <v>0</v>
      </c>
      <c r="F78" s="12"/>
      <c r="G78" s="11"/>
    </row>
    <row r="79" spans="1:7" ht="15" customHeight="1" x14ac:dyDescent="0.25">
      <c r="A79" s="8" t="s">
        <v>32</v>
      </c>
      <c r="B79" s="8" t="s">
        <v>387</v>
      </c>
      <c r="C79" s="19"/>
      <c r="D79" s="19"/>
      <c r="E79" s="20">
        <f>-(Tabla2[[#This Row],[STOCK ACTUAL]]-Tabla2[[#This Row],[CONSUMO MENSUAL]]*1.15)</f>
        <v>0</v>
      </c>
      <c r="F79" s="12"/>
      <c r="G79" s="11"/>
    </row>
    <row r="80" spans="1:7" ht="15" customHeight="1" x14ac:dyDescent="0.25">
      <c r="A80" s="8" t="s">
        <v>45</v>
      </c>
      <c r="B80" s="8" t="s">
        <v>388</v>
      </c>
      <c r="C80" s="19"/>
      <c r="D80" s="19"/>
      <c r="E80" s="20">
        <f>-(Tabla2[[#This Row],[STOCK ACTUAL]]-Tabla2[[#This Row],[CONSUMO MENSUAL]]*1.15)</f>
        <v>0</v>
      </c>
      <c r="F80" s="12"/>
      <c r="G80" s="11"/>
    </row>
    <row r="81" spans="1:7" ht="15" customHeight="1" x14ac:dyDescent="0.25">
      <c r="A81" s="8" t="s">
        <v>45</v>
      </c>
      <c r="B81" s="8" t="s">
        <v>389</v>
      </c>
      <c r="C81" s="19"/>
      <c r="D81" s="19"/>
      <c r="E81" s="20">
        <f>-(Tabla2[[#This Row],[STOCK ACTUAL]]-Tabla2[[#This Row],[CONSUMO MENSUAL]]*1.15)</f>
        <v>0</v>
      </c>
      <c r="F81" s="12"/>
      <c r="G81" s="11"/>
    </row>
    <row r="82" spans="1:7" ht="15" customHeight="1" x14ac:dyDescent="0.25">
      <c r="A82" s="8" t="s">
        <v>45</v>
      </c>
      <c r="B82" s="8" t="s">
        <v>390</v>
      </c>
      <c r="C82" s="19"/>
      <c r="D82" s="19"/>
      <c r="E82" s="20">
        <f>-(Tabla2[[#This Row],[STOCK ACTUAL]]-Tabla2[[#This Row],[CONSUMO MENSUAL]]*1.15)</f>
        <v>0</v>
      </c>
      <c r="F82" s="12"/>
      <c r="G82" s="11"/>
    </row>
    <row r="83" spans="1:7" ht="15" customHeight="1" x14ac:dyDescent="0.25">
      <c r="A83" s="8" t="s">
        <v>45</v>
      </c>
      <c r="B83" s="8" t="s">
        <v>391</v>
      </c>
      <c r="C83" s="19"/>
      <c r="D83" s="19"/>
      <c r="E83" s="20">
        <f>-(Tabla2[[#This Row],[STOCK ACTUAL]]-Tabla2[[#This Row],[CONSUMO MENSUAL]]*1.15)</f>
        <v>0</v>
      </c>
      <c r="F83" s="12"/>
      <c r="G83" s="11"/>
    </row>
    <row r="84" spans="1:7" ht="15" customHeight="1" x14ac:dyDescent="0.25">
      <c r="A84" s="8" t="s">
        <v>45</v>
      </c>
      <c r="B84" s="8" t="s">
        <v>392</v>
      </c>
      <c r="C84" s="19"/>
      <c r="D84" s="19"/>
      <c r="E84" s="20">
        <f>-(Tabla2[[#This Row],[STOCK ACTUAL]]-Tabla2[[#This Row],[CONSUMO MENSUAL]]*1.15)</f>
        <v>0</v>
      </c>
      <c r="F84" s="12"/>
      <c r="G84" s="11"/>
    </row>
    <row r="85" spans="1:7" ht="15" customHeight="1" x14ac:dyDescent="0.25">
      <c r="A85" s="8" t="s">
        <v>45</v>
      </c>
      <c r="B85" s="8" t="s">
        <v>393</v>
      </c>
      <c r="C85" s="19"/>
      <c r="D85" s="19"/>
      <c r="E85" s="20">
        <f>-(Tabla2[[#This Row],[STOCK ACTUAL]]-Tabla2[[#This Row],[CONSUMO MENSUAL]]*1.15)</f>
        <v>0</v>
      </c>
      <c r="F85" s="12"/>
      <c r="G85" s="11"/>
    </row>
    <row r="86" spans="1:7" ht="15" customHeight="1" x14ac:dyDescent="0.25">
      <c r="A86" s="8" t="s">
        <v>32</v>
      </c>
      <c r="B86" s="8" t="s">
        <v>394</v>
      </c>
      <c r="C86" s="19"/>
      <c r="D86" s="19"/>
      <c r="E86" s="20">
        <f>-(Tabla2[[#This Row],[STOCK ACTUAL]]-Tabla2[[#This Row],[CONSUMO MENSUAL]]*1.15)</f>
        <v>0</v>
      </c>
      <c r="F86" s="12"/>
      <c r="G86" s="11"/>
    </row>
    <row r="87" spans="1:7" ht="15" customHeight="1" x14ac:dyDescent="0.25">
      <c r="A87" s="8" t="s">
        <v>45</v>
      </c>
      <c r="B87" s="8" t="s">
        <v>395</v>
      </c>
      <c r="C87" s="19"/>
      <c r="D87" s="19"/>
      <c r="E87" s="20">
        <f>-(Tabla2[[#This Row],[STOCK ACTUAL]]-Tabla2[[#This Row],[CONSUMO MENSUAL]]*1.15)</f>
        <v>0</v>
      </c>
      <c r="F87" s="12"/>
      <c r="G87" s="11"/>
    </row>
    <row r="88" spans="1:7" ht="15" customHeight="1" x14ac:dyDescent="0.25">
      <c r="A88" s="8" t="s">
        <v>315</v>
      </c>
      <c r="B88" s="8" t="s">
        <v>396</v>
      </c>
      <c r="C88" s="19"/>
      <c r="D88" s="19"/>
      <c r="E88" s="20">
        <f>-(Tabla2[[#This Row],[STOCK ACTUAL]]-Tabla2[[#This Row],[CONSUMO MENSUAL]]*1.15)</f>
        <v>0</v>
      </c>
      <c r="F88" s="12"/>
      <c r="G88" s="11"/>
    </row>
    <row r="89" spans="1:7" ht="15" customHeight="1" x14ac:dyDescent="0.25">
      <c r="A89" s="8" t="s">
        <v>315</v>
      </c>
      <c r="B89" s="8" t="s">
        <v>397</v>
      </c>
      <c r="C89" s="19"/>
      <c r="D89" s="19"/>
      <c r="E89" s="20">
        <f>-(Tabla2[[#This Row],[STOCK ACTUAL]]-Tabla2[[#This Row],[CONSUMO MENSUAL]]*1.15)</f>
        <v>0</v>
      </c>
      <c r="F89" s="12"/>
      <c r="G89" s="11"/>
    </row>
    <row r="90" spans="1:7" ht="15" customHeight="1" x14ac:dyDescent="0.25">
      <c r="A90" s="8" t="s">
        <v>315</v>
      </c>
      <c r="B90" s="8" t="s">
        <v>398</v>
      </c>
      <c r="C90" s="19"/>
      <c r="D90" s="19"/>
      <c r="E90" s="20">
        <f>-(Tabla2[[#This Row],[STOCK ACTUAL]]-Tabla2[[#This Row],[CONSUMO MENSUAL]]*1.15)</f>
        <v>0</v>
      </c>
      <c r="F90" s="12"/>
      <c r="G90" s="11"/>
    </row>
    <row r="91" spans="1:7" ht="15" customHeight="1" x14ac:dyDescent="0.25">
      <c r="A91" s="8" t="s">
        <v>315</v>
      </c>
      <c r="B91" s="8" t="s">
        <v>399</v>
      </c>
      <c r="C91" s="19"/>
      <c r="D91" s="19"/>
      <c r="E91" s="20">
        <f>-(Tabla2[[#This Row],[STOCK ACTUAL]]-Tabla2[[#This Row],[CONSUMO MENSUAL]]*1.15)</f>
        <v>0</v>
      </c>
      <c r="F91" s="12"/>
      <c r="G91" s="11"/>
    </row>
    <row r="92" spans="1:7" ht="15" customHeight="1" x14ac:dyDescent="0.25">
      <c r="A92" s="8" t="s">
        <v>315</v>
      </c>
      <c r="B92" s="8" t="s">
        <v>400</v>
      </c>
      <c r="C92" s="19"/>
      <c r="D92" s="19"/>
      <c r="E92" s="20">
        <f>-(Tabla2[[#This Row],[STOCK ACTUAL]]-Tabla2[[#This Row],[CONSUMO MENSUAL]]*1.15)</f>
        <v>0</v>
      </c>
      <c r="F92" s="12"/>
      <c r="G92" s="11"/>
    </row>
    <row r="93" spans="1:7" ht="15" customHeight="1" x14ac:dyDescent="0.25">
      <c r="A93" s="8" t="s">
        <v>315</v>
      </c>
      <c r="B93" s="8" t="s">
        <v>401</v>
      </c>
      <c r="C93" s="19"/>
      <c r="D93" s="19"/>
      <c r="E93" s="20">
        <f>-(Tabla2[[#This Row],[STOCK ACTUAL]]-Tabla2[[#This Row],[CONSUMO MENSUAL]]*1.15)</f>
        <v>0</v>
      </c>
      <c r="F93" s="12"/>
      <c r="G93" s="11"/>
    </row>
    <row r="94" spans="1:7" ht="15" customHeight="1" x14ac:dyDescent="0.25">
      <c r="A94" s="8" t="s">
        <v>45</v>
      </c>
      <c r="B94" s="8" t="s">
        <v>402</v>
      </c>
      <c r="C94" s="19"/>
      <c r="D94" s="19"/>
      <c r="E94" s="20">
        <f>-(Tabla2[[#This Row],[STOCK ACTUAL]]-Tabla2[[#This Row],[CONSUMO MENSUAL]]*1.15)</f>
        <v>0</v>
      </c>
      <c r="F94" s="12"/>
      <c r="G94" s="11"/>
    </row>
    <row r="95" spans="1:7" ht="15" customHeight="1" x14ac:dyDescent="0.25">
      <c r="A95" s="8" t="s">
        <v>45</v>
      </c>
      <c r="B95" s="8" t="s">
        <v>403</v>
      </c>
      <c r="C95" s="19"/>
      <c r="D95" s="19"/>
      <c r="E95" s="20">
        <f>-(Tabla2[[#This Row],[STOCK ACTUAL]]-Tabla2[[#This Row],[CONSUMO MENSUAL]]*1.15)</f>
        <v>0</v>
      </c>
      <c r="F95" s="12"/>
      <c r="G95" s="11"/>
    </row>
    <row r="96" spans="1:7" ht="15" customHeight="1" x14ac:dyDescent="0.25">
      <c r="A96" s="8" t="s">
        <v>45</v>
      </c>
      <c r="B96" s="22" t="s">
        <v>404</v>
      </c>
      <c r="C96" s="19"/>
      <c r="D96" s="19"/>
      <c r="E96" s="20">
        <f>-(Tabla2[[#This Row],[STOCK ACTUAL]]-Tabla2[[#This Row],[CONSUMO MENSUAL]]*1.15)</f>
        <v>0</v>
      </c>
      <c r="F96" s="12"/>
      <c r="G96" s="11"/>
    </row>
    <row r="97" spans="1:7" ht="15" customHeight="1" x14ac:dyDescent="0.25">
      <c r="A97" s="8" t="s">
        <v>45</v>
      </c>
      <c r="B97" s="8" t="s">
        <v>405</v>
      </c>
      <c r="C97" s="19"/>
      <c r="D97" s="19"/>
      <c r="E97" s="20">
        <f>-(Tabla2[[#This Row],[STOCK ACTUAL]]-Tabla2[[#This Row],[CONSUMO MENSUAL]]*1.15)</f>
        <v>0</v>
      </c>
      <c r="F97" s="12"/>
      <c r="G97" s="11"/>
    </row>
    <row r="98" spans="1:7" ht="15" customHeight="1" x14ac:dyDescent="0.25">
      <c r="A98" s="8" t="s">
        <v>315</v>
      </c>
      <c r="B98" s="8" t="s">
        <v>406</v>
      </c>
      <c r="C98" s="19"/>
      <c r="D98" s="19"/>
      <c r="E98" s="20">
        <f>-(Tabla2[[#This Row],[STOCK ACTUAL]]-Tabla2[[#This Row],[CONSUMO MENSUAL]]*1.15)</f>
        <v>0</v>
      </c>
      <c r="F98" s="12"/>
      <c r="G98" s="11"/>
    </row>
    <row r="99" spans="1:7" ht="15" customHeight="1" x14ac:dyDescent="0.25">
      <c r="A99" s="8" t="s">
        <v>315</v>
      </c>
      <c r="B99" s="8" t="s">
        <v>407</v>
      </c>
      <c r="C99" s="19"/>
      <c r="D99" s="19"/>
      <c r="E99" s="20">
        <f>-(Tabla2[[#This Row],[STOCK ACTUAL]]-Tabla2[[#This Row],[CONSUMO MENSUAL]]*1.15)</f>
        <v>0</v>
      </c>
      <c r="F99" s="12"/>
      <c r="G99" s="11"/>
    </row>
    <row r="100" spans="1:7" ht="15" customHeight="1" x14ac:dyDescent="0.25">
      <c r="A100" s="8" t="s">
        <v>45</v>
      </c>
      <c r="B100" s="8" t="s">
        <v>408</v>
      </c>
      <c r="C100" s="19"/>
      <c r="D100" s="19"/>
      <c r="E100" s="20">
        <f>-(Tabla2[[#This Row],[STOCK ACTUAL]]-Tabla2[[#This Row],[CONSUMO MENSUAL]]*1.15)</f>
        <v>0</v>
      </c>
      <c r="F100" s="12"/>
      <c r="G100" s="11"/>
    </row>
    <row r="101" spans="1:7" ht="15" customHeight="1" x14ac:dyDescent="0.25">
      <c r="A101" s="8" t="s">
        <v>409</v>
      </c>
      <c r="B101" s="8" t="s">
        <v>410</v>
      </c>
      <c r="C101" s="19"/>
      <c r="D101" s="19"/>
      <c r="E101" s="20">
        <f>-(Tabla2[[#This Row],[STOCK ACTUAL]]-Tabla2[[#This Row],[CONSUMO MENSUAL]]*1.15)</f>
        <v>0</v>
      </c>
      <c r="F101" s="12"/>
      <c r="G101" s="11"/>
    </row>
    <row r="102" spans="1:7" ht="15" customHeight="1" x14ac:dyDescent="0.25">
      <c r="A102" s="8" t="s">
        <v>45</v>
      </c>
      <c r="B102" s="8" t="s">
        <v>411</v>
      </c>
      <c r="C102" s="19"/>
      <c r="D102" s="19"/>
      <c r="E102" s="20">
        <f>-(Tabla2[[#This Row],[STOCK ACTUAL]]-Tabla2[[#This Row],[CONSUMO MENSUAL]]*1.15)</f>
        <v>0</v>
      </c>
      <c r="F102" s="12"/>
      <c r="G102" s="11"/>
    </row>
    <row r="103" spans="1:7" ht="15" customHeight="1" x14ac:dyDescent="0.25">
      <c r="A103" s="8" t="s">
        <v>45</v>
      </c>
      <c r="B103" s="8" t="s">
        <v>412</v>
      </c>
      <c r="C103" s="19"/>
      <c r="D103" s="19"/>
      <c r="E103" s="20">
        <f>-(Tabla2[[#This Row],[STOCK ACTUAL]]-Tabla2[[#This Row],[CONSUMO MENSUAL]]*1.15)</f>
        <v>0</v>
      </c>
      <c r="F103" s="12"/>
      <c r="G103" s="11"/>
    </row>
    <row r="104" spans="1:7" ht="15" customHeight="1" x14ac:dyDescent="0.25">
      <c r="A104" s="8" t="s">
        <v>45</v>
      </c>
      <c r="B104" s="8" t="s">
        <v>413</v>
      </c>
      <c r="C104" s="19"/>
      <c r="D104" s="19"/>
      <c r="E104" s="20">
        <f>-(Tabla2[[#This Row],[STOCK ACTUAL]]-Tabla2[[#This Row],[CONSUMO MENSUAL]]*1.15)</f>
        <v>0</v>
      </c>
      <c r="F104" s="12"/>
      <c r="G104" s="11"/>
    </row>
    <row r="105" spans="1:7" ht="15" customHeight="1" x14ac:dyDescent="0.25">
      <c r="A105" s="8" t="s">
        <v>45</v>
      </c>
      <c r="B105" s="8" t="s">
        <v>414</v>
      </c>
      <c r="C105" s="19"/>
      <c r="D105" s="19"/>
      <c r="E105" s="20">
        <f>-(Tabla2[[#This Row],[STOCK ACTUAL]]-Tabla2[[#This Row],[CONSUMO MENSUAL]]*1.15)</f>
        <v>0</v>
      </c>
      <c r="F105" s="12"/>
      <c r="G105" s="11"/>
    </row>
    <row r="106" spans="1:7" ht="15" customHeight="1" x14ac:dyDescent="0.25">
      <c r="A106" s="8" t="s">
        <v>334</v>
      </c>
      <c r="B106" s="8" t="s">
        <v>415</v>
      </c>
      <c r="C106" s="19"/>
      <c r="D106" s="19"/>
      <c r="E106" s="20">
        <f>-(Tabla2[[#This Row],[STOCK ACTUAL]]-Tabla2[[#This Row],[CONSUMO MENSUAL]]*1.15)</f>
        <v>0</v>
      </c>
      <c r="F106" s="12"/>
      <c r="G106" s="11"/>
    </row>
    <row r="107" spans="1:7" ht="15" customHeight="1" x14ac:dyDescent="0.25">
      <c r="A107" s="8" t="s">
        <v>45</v>
      </c>
      <c r="B107" s="8" t="s">
        <v>416</v>
      </c>
      <c r="C107" s="19"/>
      <c r="D107" s="19"/>
      <c r="E107" s="20">
        <f>-(Tabla2[[#This Row],[STOCK ACTUAL]]-Tabla2[[#This Row],[CONSUMO MENSUAL]]*1.15)</f>
        <v>0</v>
      </c>
      <c r="F107" s="12"/>
      <c r="G107" s="11"/>
    </row>
    <row r="108" spans="1:7" ht="15" customHeight="1" x14ac:dyDescent="0.25">
      <c r="A108" s="8" t="s">
        <v>45</v>
      </c>
      <c r="B108" s="8" t="s">
        <v>417</v>
      </c>
      <c r="C108" s="19"/>
      <c r="D108" s="19"/>
      <c r="E108" s="20">
        <f>-(Tabla2[[#This Row],[STOCK ACTUAL]]-Tabla2[[#This Row],[CONSUMO MENSUAL]]*1.15)</f>
        <v>0</v>
      </c>
      <c r="F108" s="12"/>
      <c r="G108" s="11"/>
    </row>
    <row r="109" spans="1:7" ht="15" customHeight="1" x14ac:dyDescent="0.25">
      <c r="A109" s="8" t="s">
        <v>45</v>
      </c>
      <c r="B109" s="22" t="s">
        <v>418</v>
      </c>
      <c r="C109" s="19"/>
      <c r="D109" s="19"/>
      <c r="E109" s="20">
        <f>-(Tabla2[[#This Row],[STOCK ACTUAL]]-Tabla2[[#This Row],[CONSUMO MENSUAL]]*1.15)</f>
        <v>0</v>
      </c>
      <c r="F109" s="12"/>
      <c r="G109" s="11"/>
    </row>
    <row r="110" spans="1:7" ht="15" customHeight="1" x14ac:dyDescent="0.25">
      <c r="A110" s="8" t="s">
        <v>45</v>
      </c>
      <c r="B110" s="8" t="s">
        <v>419</v>
      </c>
      <c r="C110" s="19"/>
      <c r="D110" s="19"/>
      <c r="E110" s="20">
        <f>-(Tabla2[[#This Row],[STOCK ACTUAL]]-Tabla2[[#This Row],[CONSUMO MENSUAL]]*1.15)</f>
        <v>0</v>
      </c>
      <c r="F110" s="12"/>
      <c r="G110" s="11"/>
    </row>
    <row r="111" spans="1:7" ht="15" customHeight="1" x14ac:dyDescent="0.25">
      <c r="A111" s="8" t="s">
        <v>334</v>
      </c>
      <c r="B111" s="14" t="s">
        <v>420</v>
      </c>
      <c r="C111" s="19"/>
      <c r="D111" s="19"/>
      <c r="E111" s="20">
        <f>-(Tabla2[[#This Row],[STOCK ACTUAL]]-Tabla2[[#This Row],[CONSUMO MENSUAL]]*1.15)</f>
        <v>0</v>
      </c>
      <c r="F111" s="12"/>
      <c r="G111" s="11"/>
    </row>
    <row r="112" spans="1:7" ht="15" customHeight="1" x14ac:dyDescent="0.25">
      <c r="A112" s="8" t="s">
        <v>315</v>
      </c>
      <c r="B112" s="8" t="s">
        <v>421</v>
      </c>
      <c r="C112" s="19"/>
      <c r="D112" s="19"/>
      <c r="E112" s="20">
        <f>-(Tabla2[[#This Row],[STOCK ACTUAL]]-Tabla2[[#This Row],[CONSUMO MENSUAL]]*1.15)</f>
        <v>0</v>
      </c>
      <c r="F112" s="12"/>
      <c r="G112" s="11"/>
    </row>
    <row r="113" spans="1:7" ht="15" customHeight="1" x14ac:dyDescent="0.25">
      <c r="A113" s="8" t="s">
        <v>45</v>
      </c>
      <c r="B113" s="8" t="s">
        <v>422</v>
      </c>
      <c r="C113" s="19"/>
      <c r="D113" s="19"/>
      <c r="E113" s="20">
        <f>-(Tabla2[[#This Row],[STOCK ACTUAL]]-Tabla2[[#This Row],[CONSUMO MENSUAL]]*1.15)</f>
        <v>0</v>
      </c>
      <c r="F113" s="12"/>
      <c r="G113" s="11"/>
    </row>
    <row r="114" spans="1:7" ht="15" customHeight="1" x14ac:dyDescent="0.25">
      <c r="A114" s="8" t="s">
        <v>45</v>
      </c>
      <c r="B114" s="8" t="s">
        <v>423</v>
      </c>
      <c r="C114" s="19"/>
      <c r="D114" s="19"/>
      <c r="E114" s="20">
        <f>-(Tabla2[[#This Row],[STOCK ACTUAL]]-Tabla2[[#This Row],[CONSUMO MENSUAL]]*1.15)</f>
        <v>0</v>
      </c>
      <c r="F114" s="12"/>
      <c r="G114" s="11"/>
    </row>
    <row r="115" spans="1:7" ht="15" customHeight="1" x14ac:dyDescent="0.25">
      <c r="A115" s="8" t="s">
        <v>45</v>
      </c>
      <c r="B115" s="8" t="s">
        <v>424</v>
      </c>
      <c r="C115" s="19"/>
      <c r="D115" s="19"/>
      <c r="E115" s="20">
        <f>-(Tabla2[[#This Row],[STOCK ACTUAL]]-Tabla2[[#This Row],[CONSUMO MENSUAL]]*1.15)</f>
        <v>0</v>
      </c>
      <c r="F115" s="12"/>
      <c r="G115" s="11"/>
    </row>
    <row r="116" spans="1:7" ht="15" customHeight="1" x14ac:dyDescent="0.25">
      <c r="A116" s="8" t="s">
        <v>45</v>
      </c>
      <c r="B116" s="8" t="s">
        <v>425</v>
      </c>
      <c r="C116" s="19"/>
      <c r="D116" s="19"/>
      <c r="E116" s="20">
        <f>-(Tabla2[[#This Row],[STOCK ACTUAL]]-Tabla2[[#This Row],[CONSUMO MENSUAL]]*1.15)</f>
        <v>0</v>
      </c>
      <c r="F116" s="12"/>
      <c r="G116" s="11"/>
    </row>
    <row r="117" spans="1:7" ht="15" customHeight="1" x14ac:dyDescent="0.25">
      <c r="A117" s="8" t="s">
        <v>334</v>
      </c>
      <c r="B117" s="8" t="s">
        <v>426</v>
      </c>
      <c r="C117" s="19"/>
      <c r="D117" s="19"/>
      <c r="E117" s="20">
        <f>-(Tabla2[[#This Row],[STOCK ACTUAL]]-Tabla2[[#This Row],[CONSUMO MENSUAL]]*1.15)</f>
        <v>0</v>
      </c>
      <c r="F117" s="12"/>
      <c r="G117" s="11"/>
    </row>
    <row r="118" spans="1:7" ht="15" customHeight="1" x14ac:dyDescent="0.25">
      <c r="A118" s="8" t="s">
        <v>45</v>
      </c>
      <c r="B118" s="8" t="s">
        <v>158</v>
      </c>
      <c r="C118" s="19"/>
      <c r="D118" s="19"/>
      <c r="E118" s="20">
        <f>-(Tabla2[[#This Row],[STOCK ACTUAL]]-Tabla2[[#This Row],[CONSUMO MENSUAL]]*1.15)</f>
        <v>0</v>
      </c>
      <c r="F118" s="12"/>
      <c r="G118" s="11"/>
    </row>
    <row r="119" spans="1:7" ht="15" customHeight="1" x14ac:dyDescent="0.25">
      <c r="A119" s="8" t="s">
        <v>45</v>
      </c>
      <c r="B119" s="14" t="s">
        <v>427</v>
      </c>
      <c r="C119" s="19"/>
      <c r="D119" s="19"/>
      <c r="E119" s="20">
        <f>-(Tabla2[[#This Row],[STOCK ACTUAL]]-Tabla2[[#This Row],[CONSUMO MENSUAL]]*1.15)</f>
        <v>0</v>
      </c>
      <c r="F119" s="12"/>
      <c r="G119" s="11"/>
    </row>
    <row r="120" spans="1:7" ht="15" customHeight="1" x14ac:dyDescent="0.25">
      <c r="A120" s="8" t="s">
        <v>45</v>
      </c>
      <c r="B120" s="14" t="s">
        <v>428</v>
      </c>
      <c r="C120" s="19"/>
      <c r="D120" s="19"/>
      <c r="E120" s="20">
        <f>-(Tabla2[[#This Row],[STOCK ACTUAL]]-Tabla2[[#This Row],[CONSUMO MENSUAL]]*1.15)</f>
        <v>0</v>
      </c>
      <c r="F120" s="12"/>
      <c r="G120" s="11"/>
    </row>
    <row r="121" spans="1:7" ht="15" customHeight="1" x14ac:dyDescent="0.25">
      <c r="A121" s="8" t="s">
        <v>45</v>
      </c>
      <c r="B121" s="8" t="s">
        <v>429</v>
      </c>
      <c r="C121" s="19"/>
      <c r="D121" s="19"/>
      <c r="E121" s="20">
        <f>-(Tabla2[[#This Row],[STOCK ACTUAL]]-Tabla2[[#This Row],[CONSUMO MENSUAL]]*1.15)</f>
        <v>0</v>
      </c>
      <c r="F121" s="12"/>
      <c r="G121" s="11"/>
    </row>
    <row r="122" spans="1:7" ht="15" customHeight="1" x14ac:dyDescent="0.25">
      <c r="A122" s="8" t="s">
        <v>45</v>
      </c>
      <c r="B122" s="8" t="s">
        <v>430</v>
      </c>
      <c r="C122" s="19"/>
      <c r="D122" s="19"/>
      <c r="E122" s="20">
        <f>-(Tabla2[[#This Row],[STOCK ACTUAL]]-Tabla2[[#This Row],[CONSUMO MENSUAL]]*1.15)</f>
        <v>0</v>
      </c>
      <c r="F122" s="12"/>
      <c r="G122" s="11"/>
    </row>
    <row r="123" spans="1:7" ht="15" customHeight="1" x14ac:dyDescent="0.25">
      <c r="A123" s="8" t="s">
        <v>45</v>
      </c>
      <c r="B123" s="8" t="s">
        <v>431</v>
      </c>
      <c r="C123" s="19"/>
      <c r="D123" s="19"/>
      <c r="E123" s="20">
        <f>-(Tabla2[[#This Row],[STOCK ACTUAL]]-Tabla2[[#This Row],[CONSUMO MENSUAL]]*1.15)</f>
        <v>0</v>
      </c>
      <c r="F123" s="12"/>
      <c r="G123" s="11"/>
    </row>
    <row r="124" spans="1:7" ht="15" customHeight="1" x14ac:dyDescent="0.25">
      <c r="A124" s="8" t="s">
        <v>45</v>
      </c>
      <c r="B124" s="8" t="s">
        <v>432</v>
      </c>
      <c r="C124" s="19"/>
      <c r="D124" s="19"/>
      <c r="E124" s="20">
        <f>-(Tabla2[[#This Row],[STOCK ACTUAL]]-Tabla2[[#This Row],[CONSUMO MENSUAL]]*1.15)</f>
        <v>0</v>
      </c>
      <c r="F124" s="12"/>
      <c r="G124" s="11"/>
    </row>
    <row r="125" spans="1:7" ht="15" customHeight="1" x14ac:dyDescent="0.25">
      <c r="A125" s="8" t="s">
        <v>45</v>
      </c>
      <c r="B125" s="8" t="s">
        <v>433</v>
      </c>
      <c r="C125" s="19"/>
      <c r="D125" s="19"/>
      <c r="E125" s="20">
        <f>-(Tabla2[[#This Row],[STOCK ACTUAL]]-Tabla2[[#This Row],[CONSUMO MENSUAL]]*1.15)</f>
        <v>0</v>
      </c>
      <c r="F125" s="12"/>
      <c r="G125" s="11"/>
    </row>
    <row r="126" spans="1:7" ht="15" customHeight="1" x14ac:dyDescent="0.25">
      <c r="A126" s="8" t="s">
        <v>45</v>
      </c>
      <c r="B126" s="8" t="s">
        <v>434</v>
      </c>
      <c r="C126" s="19"/>
      <c r="D126" s="19"/>
      <c r="E126" s="20">
        <f>-(Tabla2[[#This Row],[STOCK ACTUAL]]-Tabla2[[#This Row],[CONSUMO MENSUAL]]*1.15)</f>
        <v>0</v>
      </c>
      <c r="F126" s="12"/>
      <c r="G126" s="11"/>
    </row>
    <row r="127" spans="1:7" ht="15" customHeight="1" x14ac:dyDescent="0.25">
      <c r="A127" s="8" t="s">
        <v>45</v>
      </c>
      <c r="B127" s="8" t="s">
        <v>435</v>
      </c>
      <c r="C127" s="19"/>
      <c r="D127" s="19"/>
      <c r="E127" s="20">
        <f>-(Tabla2[[#This Row],[STOCK ACTUAL]]-Tabla2[[#This Row],[CONSUMO MENSUAL]]*1.15)</f>
        <v>0</v>
      </c>
      <c r="F127" s="12"/>
      <c r="G127" s="11"/>
    </row>
    <row r="128" spans="1:7" ht="15" customHeight="1" x14ac:dyDescent="0.25">
      <c r="A128" s="8" t="s">
        <v>45</v>
      </c>
      <c r="B128" s="8" t="s">
        <v>436</v>
      </c>
      <c r="C128" s="19"/>
      <c r="D128" s="19"/>
      <c r="E128" s="20">
        <f>-(Tabla2[[#This Row],[STOCK ACTUAL]]-Tabla2[[#This Row],[CONSUMO MENSUAL]]*1.15)</f>
        <v>0</v>
      </c>
      <c r="F128" s="12"/>
      <c r="G128" s="11"/>
    </row>
    <row r="129" spans="1:7" ht="15" customHeight="1" x14ac:dyDescent="0.25">
      <c r="A129" s="8" t="s">
        <v>45</v>
      </c>
      <c r="B129" s="8" t="s">
        <v>437</v>
      </c>
      <c r="C129" s="19"/>
      <c r="D129" s="19"/>
      <c r="E129" s="20">
        <f>-(Tabla2[[#This Row],[STOCK ACTUAL]]-Tabla2[[#This Row],[CONSUMO MENSUAL]]*1.15)</f>
        <v>0</v>
      </c>
      <c r="F129" s="12"/>
      <c r="G129" s="11"/>
    </row>
    <row r="130" spans="1:7" ht="15" customHeight="1" x14ac:dyDescent="0.25">
      <c r="A130" s="8" t="s">
        <v>45</v>
      </c>
      <c r="B130" s="8" t="s">
        <v>438</v>
      </c>
      <c r="C130" s="19"/>
      <c r="D130" s="19"/>
      <c r="E130" s="20">
        <f>-(Tabla2[[#This Row],[STOCK ACTUAL]]-Tabla2[[#This Row],[CONSUMO MENSUAL]]*1.15)</f>
        <v>0</v>
      </c>
      <c r="F130" s="12"/>
      <c r="G130" s="11"/>
    </row>
    <row r="131" spans="1:7" ht="15" customHeight="1" x14ac:dyDescent="0.25">
      <c r="A131" s="8" t="s">
        <v>45</v>
      </c>
      <c r="B131" s="8" t="s">
        <v>439</v>
      </c>
      <c r="C131" s="19"/>
      <c r="D131" s="19"/>
      <c r="E131" s="20">
        <f>-(Tabla2[[#This Row],[STOCK ACTUAL]]-Tabla2[[#This Row],[CONSUMO MENSUAL]]*1.15)</f>
        <v>0</v>
      </c>
      <c r="F131" s="12"/>
      <c r="G131" s="11"/>
    </row>
    <row r="132" spans="1:7" ht="15" customHeight="1" x14ac:dyDescent="0.25">
      <c r="A132" s="8" t="s">
        <v>45</v>
      </c>
      <c r="B132" s="8" t="s">
        <v>440</v>
      </c>
      <c r="C132" s="19"/>
      <c r="D132" s="19"/>
      <c r="E132" s="20">
        <f>-(Tabla2[[#This Row],[STOCK ACTUAL]]-Tabla2[[#This Row],[CONSUMO MENSUAL]]*1.15)</f>
        <v>0</v>
      </c>
      <c r="F132" s="12"/>
      <c r="G132" s="11"/>
    </row>
    <row r="133" spans="1:7" ht="15" customHeight="1" x14ac:dyDescent="0.25">
      <c r="A133" s="8" t="s">
        <v>45</v>
      </c>
      <c r="B133" s="8" t="s">
        <v>441</v>
      </c>
      <c r="C133" s="19"/>
      <c r="D133" s="19"/>
      <c r="E133" s="20">
        <f>-(Tabla2[[#This Row],[STOCK ACTUAL]]-Tabla2[[#This Row],[CONSUMO MENSUAL]]*1.15)</f>
        <v>0</v>
      </c>
      <c r="F133" s="12"/>
      <c r="G133" s="11"/>
    </row>
    <row r="134" spans="1:7" ht="15" customHeight="1" x14ac:dyDescent="0.25">
      <c r="A134" s="8" t="s">
        <v>45</v>
      </c>
      <c r="B134" s="8" t="s">
        <v>442</v>
      </c>
      <c r="C134" s="19"/>
      <c r="D134" s="19"/>
      <c r="E134" s="20">
        <f>-(Tabla2[[#This Row],[STOCK ACTUAL]]-Tabla2[[#This Row],[CONSUMO MENSUAL]]*1.15)</f>
        <v>0</v>
      </c>
      <c r="F134" s="12"/>
      <c r="G134" s="11"/>
    </row>
    <row r="135" spans="1:7" ht="15" customHeight="1" x14ac:dyDescent="0.25">
      <c r="A135" s="8" t="s">
        <v>45</v>
      </c>
      <c r="B135" s="8" t="s">
        <v>443</v>
      </c>
      <c r="C135" s="19"/>
      <c r="D135" s="19"/>
      <c r="E135" s="20">
        <f>-(Tabla2[[#This Row],[STOCK ACTUAL]]-Tabla2[[#This Row],[CONSUMO MENSUAL]]*1.15)</f>
        <v>0</v>
      </c>
      <c r="F135" s="12"/>
      <c r="G135" s="11"/>
    </row>
    <row r="136" spans="1:7" ht="15" customHeight="1" x14ac:dyDescent="0.25">
      <c r="A136" s="8" t="s">
        <v>45</v>
      </c>
      <c r="B136" s="8" t="s">
        <v>444</v>
      </c>
      <c r="C136" s="19"/>
      <c r="D136" s="19"/>
      <c r="E136" s="20">
        <f>-(Tabla2[[#This Row],[STOCK ACTUAL]]-Tabla2[[#This Row],[CONSUMO MENSUAL]]*1.15)</f>
        <v>0</v>
      </c>
      <c r="F136" s="12"/>
      <c r="G136" s="11"/>
    </row>
    <row r="137" spans="1:7" ht="15" customHeight="1" x14ac:dyDescent="0.25">
      <c r="A137" s="8" t="s">
        <v>45</v>
      </c>
      <c r="B137" s="8" t="s">
        <v>445</v>
      </c>
      <c r="C137" s="19"/>
      <c r="D137" s="19"/>
      <c r="E137" s="20">
        <f>-(Tabla2[[#This Row],[STOCK ACTUAL]]-Tabla2[[#This Row],[CONSUMO MENSUAL]]*1.15)</f>
        <v>0</v>
      </c>
      <c r="F137" s="12"/>
      <c r="G137" s="11"/>
    </row>
    <row r="138" spans="1:7" ht="15" customHeight="1" x14ac:dyDescent="0.25">
      <c r="A138" s="8" t="s">
        <v>45</v>
      </c>
      <c r="B138" s="8" t="s">
        <v>446</v>
      </c>
      <c r="C138" s="19"/>
      <c r="D138" s="19"/>
      <c r="E138" s="20">
        <f>-(Tabla2[[#This Row],[STOCK ACTUAL]]-Tabla2[[#This Row],[CONSUMO MENSUAL]]*1.15)</f>
        <v>0</v>
      </c>
      <c r="F138" s="12"/>
      <c r="G138" s="11"/>
    </row>
    <row r="139" spans="1:7" ht="15" customHeight="1" x14ac:dyDescent="0.25">
      <c r="A139" s="8" t="s">
        <v>45</v>
      </c>
      <c r="B139" s="8" t="s">
        <v>447</v>
      </c>
      <c r="C139" s="19"/>
      <c r="D139" s="19"/>
      <c r="E139" s="20">
        <f>-(Tabla2[[#This Row],[STOCK ACTUAL]]-Tabla2[[#This Row],[CONSUMO MENSUAL]]*1.15)</f>
        <v>0</v>
      </c>
      <c r="F139" s="12"/>
      <c r="G139" s="11"/>
    </row>
    <row r="140" spans="1:7" ht="15" customHeight="1" x14ac:dyDescent="0.25">
      <c r="A140" s="8" t="s">
        <v>45</v>
      </c>
      <c r="B140" s="8" t="s">
        <v>448</v>
      </c>
      <c r="C140" s="19"/>
      <c r="D140" s="19"/>
      <c r="E140" s="20">
        <f>-(Tabla2[[#This Row],[STOCK ACTUAL]]-Tabla2[[#This Row],[CONSUMO MENSUAL]]*1.15)</f>
        <v>0</v>
      </c>
      <c r="F140" s="12"/>
      <c r="G140" s="11"/>
    </row>
    <row r="141" spans="1:7" ht="15" customHeight="1" x14ac:dyDescent="0.25">
      <c r="A141" s="8" t="s">
        <v>45</v>
      </c>
      <c r="B141" s="8" t="s">
        <v>449</v>
      </c>
      <c r="C141" s="19"/>
      <c r="D141" s="19"/>
      <c r="E141" s="20">
        <f>-(Tabla2[[#This Row],[STOCK ACTUAL]]-Tabla2[[#This Row],[CONSUMO MENSUAL]]*1.15)</f>
        <v>0</v>
      </c>
      <c r="F141" s="12"/>
      <c r="G141" s="11"/>
    </row>
    <row r="142" spans="1:7" ht="15" customHeight="1" x14ac:dyDescent="0.25">
      <c r="A142" s="8" t="s">
        <v>45</v>
      </c>
      <c r="B142" s="8" t="s">
        <v>450</v>
      </c>
      <c r="C142" s="19"/>
      <c r="D142" s="19"/>
      <c r="E142" s="20">
        <f>-(Tabla2[[#This Row],[STOCK ACTUAL]]-Tabla2[[#This Row],[CONSUMO MENSUAL]]*1.15)</f>
        <v>0</v>
      </c>
      <c r="F142" s="12"/>
      <c r="G142" s="11"/>
    </row>
    <row r="143" spans="1:7" ht="15" customHeight="1" x14ac:dyDescent="0.25">
      <c r="A143" s="8" t="s">
        <v>45</v>
      </c>
      <c r="B143" s="8" t="s">
        <v>451</v>
      </c>
      <c r="C143" s="19"/>
      <c r="D143" s="19"/>
      <c r="E143" s="20">
        <f>-(Tabla2[[#This Row],[STOCK ACTUAL]]-Tabla2[[#This Row],[CONSUMO MENSUAL]]*1.15)</f>
        <v>0</v>
      </c>
      <c r="F143" s="12"/>
      <c r="G143" s="11"/>
    </row>
    <row r="144" spans="1:7" ht="15" customHeight="1" x14ac:dyDescent="0.25">
      <c r="A144" s="8" t="s">
        <v>45</v>
      </c>
      <c r="B144" s="8" t="s">
        <v>452</v>
      </c>
      <c r="C144" s="19"/>
      <c r="D144" s="19"/>
      <c r="E144" s="20">
        <f>-(Tabla2[[#This Row],[STOCK ACTUAL]]-Tabla2[[#This Row],[CONSUMO MENSUAL]]*1.15)</f>
        <v>0</v>
      </c>
      <c r="F144" s="12"/>
      <c r="G144" s="11"/>
    </row>
    <row r="145" spans="1:7" ht="15" customHeight="1" x14ac:dyDescent="0.25">
      <c r="A145" s="8" t="s">
        <v>45</v>
      </c>
      <c r="B145" s="8" t="s">
        <v>453</v>
      </c>
      <c r="C145" s="19"/>
      <c r="D145" s="19"/>
      <c r="E145" s="20">
        <f>-(Tabla2[[#This Row],[STOCK ACTUAL]]-Tabla2[[#This Row],[CONSUMO MENSUAL]]*1.15)</f>
        <v>0</v>
      </c>
      <c r="F145" s="12"/>
      <c r="G145" s="11"/>
    </row>
    <row r="146" spans="1:7" ht="15" customHeight="1" x14ac:dyDescent="0.25">
      <c r="A146" s="8" t="s">
        <v>45</v>
      </c>
      <c r="B146" s="8" t="s">
        <v>454</v>
      </c>
      <c r="C146" s="19"/>
      <c r="D146" s="19"/>
      <c r="E146" s="20">
        <f>-(Tabla2[[#This Row],[STOCK ACTUAL]]-Tabla2[[#This Row],[CONSUMO MENSUAL]]*1.15)</f>
        <v>0</v>
      </c>
      <c r="F146" s="12"/>
      <c r="G146" s="11"/>
    </row>
    <row r="147" spans="1:7" ht="15" customHeight="1" x14ac:dyDescent="0.25">
      <c r="A147" s="8" t="s">
        <v>45</v>
      </c>
      <c r="B147" s="8" t="s">
        <v>455</v>
      </c>
      <c r="C147" s="19"/>
      <c r="D147" s="19"/>
      <c r="E147" s="20">
        <f>-(Tabla2[[#This Row],[STOCK ACTUAL]]-Tabla2[[#This Row],[CONSUMO MENSUAL]]*1.15)</f>
        <v>0</v>
      </c>
      <c r="F147" s="12"/>
      <c r="G147" s="11"/>
    </row>
    <row r="148" spans="1:7" ht="15" customHeight="1" x14ac:dyDescent="0.25">
      <c r="A148" s="8" t="s">
        <v>456</v>
      </c>
      <c r="B148" s="8" t="s">
        <v>457</v>
      </c>
      <c r="C148" s="19"/>
      <c r="D148" s="19"/>
      <c r="E148" s="20">
        <f>-(Tabla2[[#This Row],[STOCK ACTUAL]]-Tabla2[[#This Row],[CONSUMO MENSUAL]]*1.15)</f>
        <v>0</v>
      </c>
      <c r="F148" s="12"/>
      <c r="G148" s="11"/>
    </row>
    <row r="149" spans="1:7" ht="15" customHeight="1" x14ac:dyDescent="0.25">
      <c r="A149" s="8" t="s">
        <v>36</v>
      </c>
      <c r="B149" s="8" t="s">
        <v>458</v>
      </c>
      <c r="C149" s="19"/>
      <c r="D149" s="19"/>
      <c r="E149" s="20">
        <f>-(Tabla2[[#This Row],[STOCK ACTUAL]]-Tabla2[[#This Row],[CONSUMO MENSUAL]]*1.15)</f>
        <v>0</v>
      </c>
      <c r="F149" s="12"/>
      <c r="G149" s="11"/>
    </row>
    <row r="150" spans="1:7" ht="15" customHeight="1" x14ac:dyDescent="0.25">
      <c r="A150" s="8" t="s">
        <v>45</v>
      </c>
      <c r="B150" s="8" t="s">
        <v>459</v>
      </c>
      <c r="C150" s="19"/>
      <c r="D150" s="19"/>
      <c r="E150" s="20">
        <f>-(Tabla2[[#This Row],[STOCK ACTUAL]]-Tabla2[[#This Row],[CONSUMO MENSUAL]]*1.15)</f>
        <v>0</v>
      </c>
      <c r="F150" s="12"/>
      <c r="G150" s="11"/>
    </row>
    <row r="151" spans="1:7" ht="15" customHeight="1" x14ac:dyDescent="0.25">
      <c r="A151" s="8" t="s">
        <v>45</v>
      </c>
      <c r="B151" s="8" t="s">
        <v>460</v>
      </c>
      <c r="C151" s="19"/>
      <c r="D151" s="19"/>
      <c r="E151" s="20">
        <f>-(Tabla2[[#This Row],[STOCK ACTUAL]]-Tabla2[[#This Row],[CONSUMO MENSUAL]]*1.15)</f>
        <v>0</v>
      </c>
      <c r="F151" s="12"/>
      <c r="G151" s="11"/>
    </row>
    <row r="152" spans="1:7" ht="15" customHeight="1" x14ac:dyDescent="0.25">
      <c r="A152" s="8" t="s">
        <v>45</v>
      </c>
      <c r="B152" s="8" t="s">
        <v>461</v>
      </c>
      <c r="C152" s="19"/>
      <c r="D152" s="19"/>
      <c r="E152" s="20">
        <f>-(Tabla2[[#This Row],[STOCK ACTUAL]]-Tabla2[[#This Row],[CONSUMO MENSUAL]]*1.15)</f>
        <v>0</v>
      </c>
      <c r="F152" s="12"/>
      <c r="G152" s="11"/>
    </row>
    <row r="153" spans="1:7" ht="15" customHeight="1" x14ac:dyDescent="0.25">
      <c r="A153" s="8" t="s">
        <v>45</v>
      </c>
      <c r="B153" s="8" t="s">
        <v>462</v>
      </c>
      <c r="C153" s="19"/>
      <c r="D153" s="19"/>
      <c r="E153" s="20">
        <f>-(Tabla2[[#This Row],[STOCK ACTUAL]]-Tabla2[[#This Row],[CONSUMO MENSUAL]]*1.15)</f>
        <v>0</v>
      </c>
      <c r="F153" s="12"/>
      <c r="G153" s="11"/>
    </row>
    <row r="154" spans="1:7" ht="15" customHeight="1" x14ac:dyDescent="0.25">
      <c r="A154" s="8" t="s">
        <v>45</v>
      </c>
      <c r="B154" s="8" t="s">
        <v>463</v>
      </c>
      <c r="C154" s="19"/>
      <c r="D154" s="19"/>
      <c r="E154" s="20">
        <f>-(Tabla2[[#This Row],[STOCK ACTUAL]]-Tabla2[[#This Row],[CONSUMO MENSUAL]]*1.15)</f>
        <v>0</v>
      </c>
      <c r="F154" s="12"/>
      <c r="G154" s="11"/>
    </row>
    <row r="155" spans="1:7" ht="15" customHeight="1" x14ac:dyDescent="0.25">
      <c r="A155" s="8" t="s">
        <v>45</v>
      </c>
      <c r="B155" s="8" t="s">
        <v>464</v>
      </c>
      <c r="C155" s="19"/>
      <c r="D155" s="19"/>
      <c r="E155" s="20">
        <f>-(Tabla2[[#This Row],[STOCK ACTUAL]]-Tabla2[[#This Row],[CONSUMO MENSUAL]]*1.15)</f>
        <v>0</v>
      </c>
      <c r="F155" s="12"/>
      <c r="G155" s="11"/>
    </row>
    <row r="156" spans="1:7" ht="15" customHeight="1" x14ac:dyDescent="0.25">
      <c r="A156" s="8" t="s">
        <v>45</v>
      </c>
      <c r="B156" s="8" t="s">
        <v>465</v>
      </c>
      <c r="C156" s="19"/>
      <c r="D156" s="19"/>
      <c r="E156" s="20">
        <f>-(Tabla2[[#This Row],[STOCK ACTUAL]]-Tabla2[[#This Row],[CONSUMO MENSUAL]]*1.15)</f>
        <v>0</v>
      </c>
      <c r="F156" s="12"/>
      <c r="G156" s="11"/>
    </row>
    <row r="157" spans="1:7" ht="15" customHeight="1" x14ac:dyDescent="0.25">
      <c r="A157" s="8" t="s">
        <v>334</v>
      </c>
      <c r="B157" s="13" t="s">
        <v>466</v>
      </c>
      <c r="C157" s="19"/>
      <c r="D157" s="19"/>
      <c r="E157" s="20">
        <f>-(Tabla2[[#This Row],[STOCK ACTUAL]]-Tabla2[[#This Row],[CONSUMO MENSUAL]]*1.15)</f>
        <v>0</v>
      </c>
      <c r="F157" s="12"/>
      <c r="G157" s="11"/>
    </row>
    <row r="158" spans="1:7" ht="15" customHeight="1" x14ac:dyDescent="0.25">
      <c r="A158" s="8" t="s">
        <v>334</v>
      </c>
      <c r="B158" s="13" t="s">
        <v>467</v>
      </c>
      <c r="C158" s="19"/>
      <c r="D158" s="19"/>
      <c r="E158" s="20">
        <f>-(Tabla2[[#This Row],[STOCK ACTUAL]]-Tabla2[[#This Row],[CONSUMO MENSUAL]]*1.15)</f>
        <v>0</v>
      </c>
      <c r="F158" s="12"/>
      <c r="G158" s="11"/>
    </row>
    <row r="159" spans="1:7" ht="15" customHeight="1" x14ac:dyDescent="0.25">
      <c r="A159" s="8" t="s">
        <v>334</v>
      </c>
      <c r="B159" s="13" t="s">
        <v>468</v>
      </c>
      <c r="C159" s="19"/>
      <c r="D159" s="19"/>
      <c r="E159" s="20">
        <f>-(Tabla2[[#This Row],[STOCK ACTUAL]]-Tabla2[[#This Row],[CONSUMO MENSUAL]]*1.15)</f>
        <v>0</v>
      </c>
      <c r="F159" s="12"/>
      <c r="G159" s="11"/>
    </row>
    <row r="160" spans="1:7" ht="15" customHeight="1" x14ac:dyDescent="0.25">
      <c r="A160" s="8" t="s">
        <v>334</v>
      </c>
      <c r="B160" s="13" t="s">
        <v>469</v>
      </c>
      <c r="C160" s="19"/>
      <c r="D160" s="19"/>
      <c r="E160" s="20">
        <f>-(Tabla2[[#This Row],[STOCK ACTUAL]]-Tabla2[[#This Row],[CONSUMO MENSUAL]]*1.15)</f>
        <v>0</v>
      </c>
      <c r="F160" s="12"/>
      <c r="G160" s="11"/>
    </row>
    <row r="161" spans="1:7" ht="15" customHeight="1" x14ac:dyDescent="0.25">
      <c r="A161" s="8" t="s">
        <v>45</v>
      </c>
      <c r="B161" s="8" t="s">
        <v>470</v>
      </c>
      <c r="C161" s="19"/>
      <c r="D161" s="19"/>
      <c r="E161" s="20">
        <f>-(Tabla2[[#This Row],[STOCK ACTUAL]]-Tabla2[[#This Row],[CONSUMO MENSUAL]]*1.15)</f>
        <v>0</v>
      </c>
      <c r="F161" s="12"/>
      <c r="G161" s="11"/>
    </row>
    <row r="162" spans="1:7" ht="15" customHeight="1" x14ac:dyDescent="0.25">
      <c r="A162" s="8" t="s">
        <v>471</v>
      </c>
      <c r="B162" s="8" t="s">
        <v>472</v>
      </c>
      <c r="C162" s="19"/>
      <c r="D162" s="19"/>
      <c r="E162" s="20">
        <f>-(Tabla2[[#This Row],[STOCK ACTUAL]]-Tabla2[[#This Row],[CONSUMO MENSUAL]]*1.15)</f>
        <v>0</v>
      </c>
      <c r="F162" s="12"/>
      <c r="G162" s="11"/>
    </row>
    <row r="163" spans="1:7" ht="15" customHeight="1" x14ac:dyDescent="0.25">
      <c r="A163" s="8" t="s">
        <v>45</v>
      </c>
      <c r="B163" s="8" t="s">
        <v>473</v>
      </c>
      <c r="C163" s="19"/>
      <c r="D163" s="19"/>
      <c r="E163" s="20">
        <f>-(Tabla2[[#This Row],[STOCK ACTUAL]]-Tabla2[[#This Row],[CONSUMO MENSUAL]]*1.15)</f>
        <v>0</v>
      </c>
      <c r="F163" s="12"/>
      <c r="G163" s="11"/>
    </row>
    <row r="164" spans="1:7" ht="15" customHeight="1" x14ac:dyDescent="0.25">
      <c r="A164" s="8" t="s">
        <v>45</v>
      </c>
      <c r="B164" s="8" t="s">
        <v>474</v>
      </c>
      <c r="C164" s="19"/>
      <c r="D164" s="19"/>
      <c r="E164" s="20">
        <f>-(Tabla2[[#This Row],[STOCK ACTUAL]]-Tabla2[[#This Row],[CONSUMO MENSUAL]]*1.15)</f>
        <v>0</v>
      </c>
      <c r="F164" s="12"/>
      <c r="G164" s="11"/>
    </row>
    <row r="165" spans="1:7" ht="15" customHeight="1" x14ac:dyDescent="0.25">
      <c r="A165" s="8" t="s">
        <v>409</v>
      </c>
      <c r="B165" s="8" t="s">
        <v>475</v>
      </c>
      <c r="C165" s="19"/>
      <c r="D165" s="19"/>
      <c r="E165" s="20">
        <f>-(Tabla2[[#This Row],[STOCK ACTUAL]]-Tabla2[[#This Row],[CONSUMO MENSUAL]]*1.15)</f>
        <v>0</v>
      </c>
      <c r="F165" s="12"/>
      <c r="G165" s="11"/>
    </row>
    <row r="166" spans="1:7" ht="15" customHeight="1" x14ac:dyDescent="0.25">
      <c r="A166" s="8" t="s">
        <v>45</v>
      </c>
      <c r="B166" s="8" t="s">
        <v>476</v>
      </c>
      <c r="C166" s="19"/>
      <c r="D166" s="19"/>
      <c r="E166" s="20">
        <f>-(Tabla2[[#This Row],[STOCK ACTUAL]]-Tabla2[[#This Row],[CONSUMO MENSUAL]]*1.15)</f>
        <v>0</v>
      </c>
      <c r="F166" s="12"/>
      <c r="G166" s="11"/>
    </row>
    <row r="167" spans="1:7" ht="15" customHeight="1" x14ac:dyDescent="0.25">
      <c r="A167" s="8" t="s">
        <v>45</v>
      </c>
      <c r="B167" s="8" t="s">
        <v>477</v>
      </c>
      <c r="C167" s="19"/>
      <c r="D167" s="19"/>
      <c r="E167" s="20">
        <f>-(Tabla2[[#This Row],[STOCK ACTUAL]]-Tabla2[[#This Row],[CONSUMO MENSUAL]]*1.15)</f>
        <v>0</v>
      </c>
      <c r="F167" s="12"/>
      <c r="G167" s="11"/>
    </row>
    <row r="168" spans="1:7" ht="15" customHeight="1" x14ac:dyDescent="0.25">
      <c r="A168" s="8" t="s">
        <v>45</v>
      </c>
      <c r="B168" s="8" t="s">
        <v>478</v>
      </c>
      <c r="C168" s="19"/>
      <c r="D168" s="19"/>
      <c r="E168" s="20">
        <f>-(Tabla2[[#This Row],[STOCK ACTUAL]]-Tabla2[[#This Row],[CONSUMO MENSUAL]]*1.15)</f>
        <v>0</v>
      </c>
      <c r="F168" s="12"/>
      <c r="G168" s="11"/>
    </row>
    <row r="169" spans="1:7" ht="15" customHeight="1" x14ac:dyDescent="0.25">
      <c r="A169" s="8" t="s">
        <v>41</v>
      </c>
      <c r="B169" s="8" t="s">
        <v>479</v>
      </c>
      <c r="C169" s="19"/>
      <c r="D169" s="19"/>
      <c r="E169" s="20">
        <f>-(Tabla2[[#This Row],[STOCK ACTUAL]]-Tabla2[[#This Row],[CONSUMO MENSUAL]]*1.15)</f>
        <v>0</v>
      </c>
      <c r="F169" s="12"/>
      <c r="G169" s="11"/>
    </row>
    <row r="170" spans="1:7" ht="15" customHeight="1" x14ac:dyDescent="0.25">
      <c r="A170" s="8" t="s">
        <v>315</v>
      </c>
      <c r="B170" s="8" t="s">
        <v>480</v>
      </c>
      <c r="C170" s="19"/>
      <c r="D170" s="19"/>
      <c r="E170" s="20">
        <f>-(Tabla2[[#This Row],[STOCK ACTUAL]]-Tabla2[[#This Row],[CONSUMO MENSUAL]]*1.15)</f>
        <v>0</v>
      </c>
      <c r="F170" s="12"/>
      <c r="G170" s="11"/>
    </row>
    <row r="171" spans="1:7" ht="15" customHeight="1" x14ac:dyDescent="0.25">
      <c r="A171" s="8" t="s">
        <v>315</v>
      </c>
      <c r="B171" s="8" t="s">
        <v>481</v>
      </c>
      <c r="C171" s="19"/>
      <c r="D171" s="19"/>
      <c r="E171" s="20">
        <f>-(Tabla2[[#This Row],[STOCK ACTUAL]]-Tabla2[[#This Row],[CONSUMO MENSUAL]]*1.15)</f>
        <v>0</v>
      </c>
      <c r="F171" s="12"/>
      <c r="G171" s="11"/>
    </row>
    <row r="172" spans="1:7" ht="15" customHeight="1" x14ac:dyDescent="0.25">
      <c r="A172" s="8" t="s">
        <v>315</v>
      </c>
      <c r="B172" s="8" t="s">
        <v>482</v>
      </c>
      <c r="C172" s="19"/>
      <c r="D172" s="19"/>
      <c r="E172" s="20">
        <f>-(Tabla2[[#This Row],[STOCK ACTUAL]]-Tabla2[[#This Row],[CONSUMO MENSUAL]]*1.15)</f>
        <v>0</v>
      </c>
      <c r="F172" s="12"/>
      <c r="G172" s="11"/>
    </row>
    <row r="173" spans="1:7" ht="15" customHeight="1" x14ac:dyDescent="0.25">
      <c r="A173" s="8" t="s">
        <v>315</v>
      </c>
      <c r="B173" s="8" t="s">
        <v>483</v>
      </c>
      <c r="C173" s="19"/>
      <c r="D173" s="19"/>
      <c r="E173" s="20">
        <f>-(Tabla2[[#This Row],[STOCK ACTUAL]]-Tabla2[[#This Row],[CONSUMO MENSUAL]]*1.15)</f>
        <v>0</v>
      </c>
      <c r="F173" s="12"/>
      <c r="G173" s="11"/>
    </row>
    <row r="174" spans="1:7" ht="15" customHeight="1" x14ac:dyDescent="0.25">
      <c r="A174" s="8" t="s">
        <v>45</v>
      </c>
      <c r="B174" s="8" t="s">
        <v>484</v>
      </c>
      <c r="C174" s="19"/>
      <c r="D174" s="19"/>
      <c r="E174" s="20">
        <f>-(Tabla2[[#This Row],[STOCK ACTUAL]]-Tabla2[[#This Row],[CONSUMO MENSUAL]]*1.15)</f>
        <v>0</v>
      </c>
      <c r="F174" s="12"/>
      <c r="G174" s="11"/>
    </row>
    <row r="175" spans="1:7" ht="15" customHeight="1" x14ac:dyDescent="0.25">
      <c r="A175" s="8" t="s">
        <v>315</v>
      </c>
      <c r="B175" s="8" t="s">
        <v>485</v>
      </c>
      <c r="C175" s="19"/>
      <c r="D175" s="19"/>
      <c r="E175" s="20">
        <f>-(Tabla2[[#This Row],[STOCK ACTUAL]]-Tabla2[[#This Row],[CONSUMO MENSUAL]]*1.15)</f>
        <v>0</v>
      </c>
      <c r="F175" s="12"/>
      <c r="G175" s="11"/>
    </row>
    <row r="176" spans="1:7" ht="15" customHeight="1" x14ac:dyDescent="0.25">
      <c r="A176" s="8" t="s">
        <v>45</v>
      </c>
      <c r="B176" s="8" t="s">
        <v>486</v>
      </c>
      <c r="C176" s="19"/>
      <c r="D176" s="19"/>
      <c r="E176" s="20">
        <f>-(Tabla2[[#This Row],[STOCK ACTUAL]]-Tabla2[[#This Row],[CONSUMO MENSUAL]]*1.15)</f>
        <v>0</v>
      </c>
      <c r="F176" s="12"/>
      <c r="G176" s="11"/>
    </row>
    <row r="177" spans="1:7" ht="15" customHeight="1" x14ac:dyDescent="0.25">
      <c r="A177" s="8" t="s">
        <v>45</v>
      </c>
      <c r="B177" s="8" t="s">
        <v>487</v>
      </c>
      <c r="C177" s="19"/>
      <c r="D177" s="19"/>
      <c r="E177" s="20">
        <f>-(Tabla2[[#This Row],[STOCK ACTUAL]]-Tabla2[[#This Row],[CONSUMO MENSUAL]]*1.15)</f>
        <v>0</v>
      </c>
      <c r="F177" s="12"/>
      <c r="G177" s="11"/>
    </row>
    <row r="178" spans="1:7" ht="15" customHeight="1" x14ac:dyDescent="0.25">
      <c r="A178" s="8" t="s">
        <v>45</v>
      </c>
      <c r="B178" s="8" t="s">
        <v>488</v>
      </c>
      <c r="C178" s="19"/>
      <c r="D178" s="19"/>
      <c r="E178" s="20">
        <f>-(Tabla2[[#This Row],[STOCK ACTUAL]]-Tabla2[[#This Row],[CONSUMO MENSUAL]]*1.15)</f>
        <v>0</v>
      </c>
      <c r="F178" s="12"/>
      <c r="G178" s="11"/>
    </row>
    <row r="179" spans="1:7" ht="15" customHeight="1" x14ac:dyDescent="0.25">
      <c r="A179" s="8" t="s">
        <v>45</v>
      </c>
      <c r="B179" s="8" t="s">
        <v>489</v>
      </c>
      <c r="C179" s="19"/>
      <c r="D179" s="19"/>
      <c r="E179" s="20">
        <f>-(Tabla2[[#This Row],[STOCK ACTUAL]]-Tabla2[[#This Row],[CONSUMO MENSUAL]]*1.15)</f>
        <v>0</v>
      </c>
      <c r="F179" s="12"/>
      <c r="G179" s="11"/>
    </row>
    <row r="180" spans="1:7" ht="15" customHeight="1" x14ac:dyDescent="0.25">
      <c r="A180" s="8" t="s">
        <v>45</v>
      </c>
      <c r="B180" s="8" t="s">
        <v>490</v>
      </c>
      <c r="C180" s="19"/>
      <c r="D180" s="19"/>
      <c r="E180" s="20">
        <f>-(Tabla2[[#This Row],[STOCK ACTUAL]]-Tabla2[[#This Row],[CONSUMO MENSUAL]]*1.15)</f>
        <v>0</v>
      </c>
      <c r="F180" s="12"/>
      <c r="G180" s="11"/>
    </row>
    <row r="181" spans="1:7" ht="15" customHeight="1" x14ac:dyDescent="0.25">
      <c r="A181" s="8" t="s">
        <v>45</v>
      </c>
      <c r="B181" s="8" t="s">
        <v>491</v>
      </c>
      <c r="C181" s="19"/>
      <c r="D181" s="19"/>
      <c r="E181" s="20">
        <f>-(Tabla2[[#This Row],[STOCK ACTUAL]]-Tabla2[[#This Row],[CONSUMO MENSUAL]]*1.15)</f>
        <v>0</v>
      </c>
      <c r="F181" s="12"/>
      <c r="G181" s="11"/>
    </row>
    <row r="182" spans="1:7" ht="15" customHeight="1" x14ac:dyDescent="0.25">
      <c r="A182" s="8" t="s">
        <v>45</v>
      </c>
      <c r="B182" s="8" t="s">
        <v>492</v>
      </c>
      <c r="C182" s="19"/>
      <c r="D182" s="19"/>
      <c r="E182" s="20">
        <f>-(Tabla2[[#This Row],[STOCK ACTUAL]]-Tabla2[[#This Row],[CONSUMO MENSUAL]]*1.15)</f>
        <v>0</v>
      </c>
      <c r="F182" s="12"/>
      <c r="G182" s="11"/>
    </row>
    <row r="183" spans="1:7" ht="15" customHeight="1" x14ac:dyDescent="0.25">
      <c r="A183" s="8" t="s">
        <v>45</v>
      </c>
      <c r="B183" s="8" t="s">
        <v>493</v>
      </c>
      <c r="C183" s="19"/>
      <c r="D183" s="19"/>
      <c r="E183" s="20">
        <f>-(Tabla2[[#This Row],[STOCK ACTUAL]]-Tabla2[[#This Row],[CONSUMO MENSUAL]]*1.15)</f>
        <v>0</v>
      </c>
      <c r="F183" s="12"/>
      <c r="G183" s="11"/>
    </row>
    <row r="184" spans="1:7" ht="15" customHeight="1" x14ac:dyDescent="0.25">
      <c r="A184" s="8" t="s">
        <v>45</v>
      </c>
      <c r="B184" s="8" t="s">
        <v>494</v>
      </c>
      <c r="C184" s="19"/>
      <c r="D184" s="19"/>
      <c r="E184" s="20">
        <f>-(Tabla2[[#This Row],[STOCK ACTUAL]]-Tabla2[[#This Row],[CONSUMO MENSUAL]]*1.15)</f>
        <v>0</v>
      </c>
      <c r="F184" s="12"/>
      <c r="G184" s="11"/>
    </row>
    <row r="185" spans="1:7" ht="15" customHeight="1" x14ac:dyDescent="0.25">
      <c r="A185" s="8" t="s">
        <v>45</v>
      </c>
      <c r="B185" s="8" t="s">
        <v>495</v>
      </c>
      <c r="C185" s="19"/>
      <c r="D185" s="19"/>
      <c r="E185" s="20">
        <f>-(Tabla2[[#This Row],[STOCK ACTUAL]]-Tabla2[[#This Row],[CONSUMO MENSUAL]]*1.15)</f>
        <v>0</v>
      </c>
      <c r="F185" s="12"/>
      <c r="G185" s="11"/>
    </row>
    <row r="186" spans="1:7" ht="15" customHeight="1" x14ac:dyDescent="0.25">
      <c r="A186" s="8" t="s">
        <v>45</v>
      </c>
      <c r="B186" s="8" t="s">
        <v>496</v>
      </c>
      <c r="C186" s="19"/>
      <c r="D186" s="19"/>
      <c r="E186" s="20">
        <f>-(Tabla2[[#This Row],[STOCK ACTUAL]]-Tabla2[[#This Row],[CONSUMO MENSUAL]]*1.15)</f>
        <v>0</v>
      </c>
      <c r="F186" s="12"/>
      <c r="G186" s="11"/>
    </row>
    <row r="187" spans="1:7" ht="15" customHeight="1" x14ac:dyDescent="0.25">
      <c r="A187" s="8" t="s">
        <v>456</v>
      </c>
      <c r="B187" s="8" t="s">
        <v>497</v>
      </c>
      <c r="C187" s="19"/>
      <c r="D187" s="19"/>
      <c r="E187" s="20">
        <f>-(Tabla2[[#This Row],[STOCK ACTUAL]]-Tabla2[[#This Row],[CONSUMO MENSUAL]]*1.15)</f>
        <v>0</v>
      </c>
      <c r="F187" s="12"/>
      <c r="G187" s="11"/>
    </row>
    <row r="188" spans="1:7" ht="15" customHeight="1" x14ac:dyDescent="0.25">
      <c r="A188" s="8" t="s">
        <v>45</v>
      </c>
      <c r="B188" s="8" t="s">
        <v>498</v>
      </c>
      <c r="C188" s="19"/>
      <c r="D188" s="19"/>
      <c r="E188" s="20">
        <f>-(Tabla2[[#This Row],[STOCK ACTUAL]]-Tabla2[[#This Row],[CONSUMO MENSUAL]]*1.15)</f>
        <v>0</v>
      </c>
      <c r="F188" s="12"/>
      <c r="G188" s="11"/>
    </row>
    <row r="189" spans="1:7" ht="15" customHeight="1" x14ac:dyDescent="0.25">
      <c r="A189" s="8" t="s">
        <v>45</v>
      </c>
      <c r="B189" s="8" t="s">
        <v>499</v>
      </c>
      <c r="C189" s="19"/>
      <c r="D189" s="19"/>
      <c r="E189" s="20">
        <f>-(Tabla2[[#This Row],[STOCK ACTUAL]]-Tabla2[[#This Row],[CONSUMO MENSUAL]]*1.15)</f>
        <v>0</v>
      </c>
      <c r="F189" s="12"/>
      <c r="G189" s="11"/>
    </row>
    <row r="190" spans="1:7" ht="15" customHeight="1" x14ac:dyDescent="0.25">
      <c r="A190" s="8" t="s">
        <v>45</v>
      </c>
      <c r="B190" s="8" t="s">
        <v>500</v>
      </c>
      <c r="C190" s="19"/>
      <c r="D190" s="19"/>
      <c r="E190" s="20">
        <f>-(Tabla2[[#This Row],[STOCK ACTUAL]]-Tabla2[[#This Row],[CONSUMO MENSUAL]]*1.15)</f>
        <v>0</v>
      </c>
      <c r="F190" s="12"/>
      <c r="G190" s="11"/>
    </row>
    <row r="191" spans="1:7" ht="15" customHeight="1" x14ac:dyDescent="0.25">
      <c r="A191" s="8" t="s">
        <v>45</v>
      </c>
      <c r="B191" s="8" t="s">
        <v>501</v>
      </c>
      <c r="C191" s="19"/>
      <c r="D191" s="19"/>
      <c r="E191" s="20">
        <f>-(Tabla2[[#This Row],[STOCK ACTUAL]]-Tabla2[[#This Row],[CONSUMO MENSUAL]]*1.15)</f>
        <v>0</v>
      </c>
      <c r="F191" s="12"/>
      <c r="G191" s="11"/>
    </row>
    <row r="192" spans="1:7" ht="15" customHeight="1" x14ac:dyDescent="0.25">
      <c r="A192" s="8" t="s">
        <v>45</v>
      </c>
      <c r="B192" s="8" t="s">
        <v>502</v>
      </c>
      <c r="C192" s="19"/>
      <c r="D192" s="19"/>
      <c r="E192" s="20">
        <f>-(Tabla2[[#This Row],[STOCK ACTUAL]]-Tabla2[[#This Row],[CONSUMO MENSUAL]]*1.15)</f>
        <v>0</v>
      </c>
      <c r="F192" s="12"/>
      <c r="G192" s="11"/>
    </row>
    <row r="193" spans="1:7" ht="15" customHeight="1" x14ac:dyDescent="0.25">
      <c r="A193" s="8" t="s">
        <v>45</v>
      </c>
      <c r="B193" s="8" t="s">
        <v>503</v>
      </c>
      <c r="C193" s="19"/>
      <c r="D193" s="19"/>
      <c r="E193" s="20">
        <f>-(Tabla2[[#This Row],[STOCK ACTUAL]]-Tabla2[[#This Row],[CONSUMO MENSUAL]]*1.15)</f>
        <v>0</v>
      </c>
      <c r="F193" s="12"/>
      <c r="G193" s="11"/>
    </row>
    <row r="194" spans="1:7" ht="15" customHeight="1" x14ac:dyDescent="0.25">
      <c r="A194" s="8" t="s">
        <v>45</v>
      </c>
      <c r="B194" s="8" t="s">
        <v>504</v>
      </c>
      <c r="C194" s="19"/>
      <c r="D194" s="19"/>
      <c r="E194" s="20">
        <f>-(Tabla2[[#This Row],[STOCK ACTUAL]]-Tabla2[[#This Row],[CONSUMO MENSUAL]]*1.15)</f>
        <v>0</v>
      </c>
      <c r="F194" s="12"/>
      <c r="G194" s="11"/>
    </row>
    <row r="195" spans="1:7" ht="15" customHeight="1" x14ac:dyDescent="0.25">
      <c r="A195" s="8" t="s">
        <v>45</v>
      </c>
      <c r="B195" s="13" t="s">
        <v>505</v>
      </c>
      <c r="C195" s="19"/>
      <c r="D195" s="19"/>
      <c r="E195" s="20">
        <f>-(Tabla2[[#This Row],[STOCK ACTUAL]]-Tabla2[[#This Row],[CONSUMO MENSUAL]]*1.15)</f>
        <v>0</v>
      </c>
      <c r="F195" s="12"/>
      <c r="G195" s="11"/>
    </row>
    <row r="196" spans="1:7" ht="15" customHeight="1" x14ac:dyDescent="0.25">
      <c r="A196" s="8" t="s">
        <v>45</v>
      </c>
      <c r="B196" s="8" t="s">
        <v>506</v>
      </c>
      <c r="C196" s="19"/>
      <c r="D196" s="19"/>
      <c r="E196" s="20">
        <f>-(Tabla2[[#This Row],[STOCK ACTUAL]]-Tabla2[[#This Row],[CONSUMO MENSUAL]]*1.15)</f>
        <v>0</v>
      </c>
      <c r="F196" s="12"/>
      <c r="G196" s="11"/>
    </row>
    <row r="197" spans="1:7" ht="15" customHeight="1" x14ac:dyDescent="0.25">
      <c r="A197" s="8" t="s">
        <v>45</v>
      </c>
      <c r="B197" s="8" t="s">
        <v>507</v>
      </c>
      <c r="C197" s="19"/>
      <c r="D197" s="19"/>
      <c r="E197" s="20">
        <f>-(Tabla2[[#This Row],[STOCK ACTUAL]]-Tabla2[[#This Row],[CONSUMO MENSUAL]]*1.15)</f>
        <v>0</v>
      </c>
      <c r="F197" s="12"/>
      <c r="G197" s="11"/>
    </row>
    <row r="198" spans="1:7" ht="15" customHeight="1" x14ac:dyDescent="0.25">
      <c r="A198" s="8" t="s">
        <v>45</v>
      </c>
      <c r="B198" s="8" t="s">
        <v>508</v>
      </c>
      <c r="C198" s="19"/>
      <c r="D198" s="19"/>
      <c r="E198" s="20">
        <f>-(Tabla2[[#This Row],[STOCK ACTUAL]]-Tabla2[[#This Row],[CONSUMO MENSUAL]]*1.15)</f>
        <v>0</v>
      </c>
      <c r="F198" s="12"/>
      <c r="G198" s="11"/>
    </row>
    <row r="199" spans="1:7" ht="15" customHeight="1" x14ac:dyDescent="0.25">
      <c r="A199" s="8" t="s">
        <v>45</v>
      </c>
      <c r="B199" s="8" t="s">
        <v>509</v>
      </c>
      <c r="C199" s="19"/>
      <c r="D199" s="19"/>
      <c r="E199" s="20">
        <f>-(Tabla2[[#This Row],[STOCK ACTUAL]]-Tabla2[[#This Row],[CONSUMO MENSUAL]]*1.15)</f>
        <v>0</v>
      </c>
      <c r="F199" s="12"/>
      <c r="G199" s="11"/>
    </row>
    <row r="200" spans="1:7" ht="15" customHeight="1" x14ac:dyDescent="0.25">
      <c r="A200" s="8" t="s">
        <v>45</v>
      </c>
      <c r="B200" s="13" t="s">
        <v>510</v>
      </c>
      <c r="C200" s="19"/>
      <c r="D200" s="19"/>
      <c r="E200" s="20">
        <f>-(Tabla2[[#This Row],[STOCK ACTUAL]]-Tabla2[[#This Row],[CONSUMO MENSUAL]]*1.15)</f>
        <v>0</v>
      </c>
      <c r="F200" s="12"/>
      <c r="G200" s="11"/>
    </row>
    <row r="201" spans="1:7" ht="15" customHeight="1" x14ac:dyDescent="0.25">
      <c r="A201" s="8" t="s">
        <v>334</v>
      </c>
      <c r="B201" s="8" t="s">
        <v>511</v>
      </c>
      <c r="C201" s="19"/>
      <c r="D201" s="19"/>
      <c r="E201" s="20">
        <f>-(Tabla2[[#This Row],[STOCK ACTUAL]]-Tabla2[[#This Row],[CONSUMO MENSUAL]]*1.15)</f>
        <v>0</v>
      </c>
      <c r="F201" s="12"/>
      <c r="G201" s="11"/>
    </row>
    <row r="202" spans="1:7" ht="15" customHeight="1" x14ac:dyDescent="0.25">
      <c r="A202" s="8" t="s">
        <v>334</v>
      </c>
      <c r="B202" s="8" t="s">
        <v>512</v>
      </c>
      <c r="C202" s="19"/>
      <c r="D202" s="19"/>
      <c r="E202" s="20">
        <f>-(Tabla2[[#This Row],[STOCK ACTUAL]]-Tabla2[[#This Row],[CONSUMO MENSUAL]]*1.15)</f>
        <v>0</v>
      </c>
      <c r="F202" s="12"/>
      <c r="G202" s="11"/>
    </row>
    <row r="203" spans="1:7" ht="15" customHeight="1" x14ac:dyDescent="0.25">
      <c r="A203" s="8" t="s">
        <v>334</v>
      </c>
      <c r="B203" s="8" t="s">
        <v>513</v>
      </c>
      <c r="C203" s="19"/>
      <c r="D203" s="19"/>
      <c r="E203" s="20">
        <f>-(Tabla2[[#This Row],[STOCK ACTUAL]]-Tabla2[[#This Row],[CONSUMO MENSUAL]]*1.15)</f>
        <v>0</v>
      </c>
      <c r="F203" s="12"/>
      <c r="G203" s="11"/>
    </row>
    <row r="204" spans="1:7" ht="15" customHeight="1" x14ac:dyDescent="0.25">
      <c r="A204" s="8" t="s">
        <v>45</v>
      </c>
      <c r="B204" s="8" t="s">
        <v>514</v>
      </c>
      <c r="C204" s="19"/>
      <c r="D204" s="19"/>
      <c r="E204" s="20">
        <f>-(Tabla2[[#This Row],[STOCK ACTUAL]]-Tabla2[[#This Row],[CONSUMO MENSUAL]]*1.15)</f>
        <v>0</v>
      </c>
      <c r="F204" s="12"/>
      <c r="G204" s="11"/>
    </row>
    <row r="205" spans="1:7" ht="15" customHeight="1" x14ac:dyDescent="0.25">
      <c r="A205" s="8" t="s">
        <v>45</v>
      </c>
      <c r="B205" s="8" t="s">
        <v>515</v>
      </c>
      <c r="C205" s="19"/>
      <c r="D205" s="19"/>
      <c r="E205" s="20">
        <f>-(Tabla2[[#This Row],[STOCK ACTUAL]]-Tabla2[[#This Row],[CONSUMO MENSUAL]]*1.15)</f>
        <v>0</v>
      </c>
      <c r="F205" s="12"/>
      <c r="G205" s="11"/>
    </row>
    <row r="206" spans="1:7" ht="15" customHeight="1" x14ac:dyDescent="0.25">
      <c r="A206" s="8" t="s">
        <v>45</v>
      </c>
      <c r="B206" s="8" t="s">
        <v>516</v>
      </c>
      <c r="C206" s="19"/>
      <c r="D206" s="19"/>
      <c r="E206" s="20">
        <f>-(Tabla2[[#This Row],[STOCK ACTUAL]]-Tabla2[[#This Row],[CONSUMO MENSUAL]]*1.15)</f>
        <v>0</v>
      </c>
      <c r="F206" s="12"/>
      <c r="G206" s="11"/>
    </row>
    <row r="207" spans="1:7" ht="15" customHeight="1" x14ac:dyDescent="0.25">
      <c r="A207" s="8" t="s">
        <v>334</v>
      </c>
      <c r="B207" s="13" t="s">
        <v>517</v>
      </c>
      <c r="C207" s="19"/>
      <c r="D207" s="19"/>
      <c r="E207" s="20">
        <f>-(Tabla2[[#This Row],[STOCK ACTUAL]]-Tabla2[[#This Row],[CONSUMO MENSUAL]]*1.15)</f>
        <v>0</v>
      </c>
      <c r="F207" s="12"/>
      <c r="G207" s="11"/>
    </row>
    <row r="208" spans="1:7" ht="15" customHeight="1" x14ac:dyDescent="0.25">
      <c r="A208" s="8" t="s">
        <v>334</v>
      </c>
      <c r="B208" s="8" t="s">
        <v>518</v>
      </c>
      <c r="C208" s="19"/>
      <c r="D208" s="19"/>
      <c r="E208" s="20">
        <f>-(Tabla2[[#This Row],[STOCK ACTUAL]]-Tabla2[[#This Row],[CONSUMO MENSUAL]]*1.15)</f>
        <v>0</v>
      </c>
      <c r="F208" s="12"/>
      <c r="G208" s="11"/>
    </row>
    <row r="209" spans="1:7" ht="15" customHeight="1" x14ac:dyDescent="0.25">
      <c r="A209" s="8" t="s">
        <v>409</v>
      </c>
      <c r="B209" s="8" t="s">
        <v>519</v>
      </c>
      <c r="C209" s="19"/>
      <c r="D209" s="19"/>
      <c r="E209" s="20">
        <f>-(Tabla2[[#This Row],[STOCK ACTUAL]]-Tabla2[[#This Row],[CONSUMO MENSUAL]]*1.15)</f>
        <v>0</v>
      </c>
      <c r="F209" s="12"/>
      <c r="G209" s="11"/>
    </row>
    <row r="210" spans="1:7" ht="15" customHeight="1" x14ac:dyDescent="0.25">
      <c r="A210" s="8" t="s">
        <v>45</v>
      </c>
      <c r="B210" s="8" t="s">
        <v>520</v>
      </c>
      <c r="C210" s="19"/>
      <c r="D210" s="19"/>
      <c r="E210" s="20">
        <f>-(Tabla2[[#This Row],[STOCK ACTUAL]]-Tabla2[[#This Row],[CONSUMO MENSUAL]]*1.15)</f>
        <v>0</v>
      </c>
      <c r="F210" s="12"/>
      <c r="G210" s="11"/>
    </row>
    <row r="211" spans="1:7" ht="15" customHeight="1" x14ac:dyDescent="0.25">
      <c r="A211" s="8" t="s">
        <v>45</v>
      </c>
      <c r="B211" s="8" t="s">
        <v>521</v>
      </c>
      <c r="C211" s="19"/>
      <c r="D211" s="19"/>
      <c r="E211" s="20">
        <f>-(Tabla2[[#This Row],[STOCK ACTUAL]]-Tabla2[[#This Row],[CONSUMO MENSUAL]]*1.15)</f>
        <v>0</v>
      </c>
      <c r="F211" s="12"/>
      <c r="G211" s="11"/>
    </row>
    <row r="212" spans="1:7" ht="15" customHeight="1" x14ac:dyDescent="0.25">
      <c r="A212" s="8" t="s">
        <v>45</v>
      </c>
      <c r="B212" s="8" t="s">
        <v>522</v>
      </c>
      <c r="C212" s="19"/>
      <c r="D212" s="19"/>
      <c r="E212" s="20">
        <f>-(Tabla2[[#This Row],[STOCK ACTUAL]]-Tabla2[[#This Row],[CONSUMO MENSUAL]]*1.15)</f>
        <v>0</v>
      </c>
      <c r="F212" s="12"/>
      <c r="G212" s="11"/>
    </row>
    <row r="213" spans="1:7" ht="15" customHeight="1" x14ac:dyDescent="0.25">
      <c r="A213" s="8" t="s">
        <v>45</v>
      </c>
      <c r="B213" s="8" t="s">
        <v>523</v>
      </c>
      <c r="C213" s="19"/>
      <c r="D213" s="19"/>
      <c r="E213" s="20">
        <f>-(Tabla2[[#This Row],[STOCK ACTUAL]]-Tabla2[[#This Row],[CONSUMO MENSUAL]]*1.15)</f>
        <v>0</v>
      </c>
      <c r="F213" s="12"/>
      <c r="G213" s="11"/>
    </row>
    <row r="214" spans="1:7" ht="15" customHeight="1" x14ac:dyDescent="0.25">
      <c r="A214" s="8" t="s">
        <v>45</v>
      </c>
      <c r="B214" s="8" t="s">
        <v>524</v>
      </c>
      <c r="C214" s="19"/>
      <c r="D214" s="19"/>
      <c r="E214" s="20">
        <f>-(Tabla2[[#This Row],[STOCK ACTUAL]]-Tabla2[[#This Row],[CONSUMO MENSUAL]]*1.15)</f>
        <v>0</v>
      </c>
      <c r="F214" s="12"/>
      <c r="G214" s="11"/>
    </row>
    <row r="215" spans="1:7" ht="15" customHeight="1" x14ac:dyDescent="0.25">
      <c r="A215" s="8" t="s">
        <v>45</v>
      </c>
      <c r="B215" s="8" t="s">
        <v>525</v>
      </c>
      <c r="C215" s="19"/>
      <c r="D215" s="19"/>
      <c r="E215" s="20">
        <f>-(Tabla2[[#This Row],[STOCK ACTUAL]]-Tabla2[[#This Row],[CONSUMO MENSUAL]]*1.15)</f>
        <v>0</v>
      </c>
      <c r="F215" s="12"/>
      <c r="G215" s="11"/>
    </row>
    <row r="216" spans="1:7" ht="15" customHeight="1" x14ac:dyDescent="0.25">
      <c r="A216" s="8" t="s">
        <v>45</v>
      </c>
      <c r="B216" s="8" t="s">
        <v>526</v>
      </c>
      <c r="C216" s="19"/>
      <c r="D216" s="19"/>
      <c r="E216" s="20">
        <f>-(Tabla2[[#This Row],[STOCK ACTUAL]]-Tabla2[[#This Row],[CONSUMO MENSUAL]]*1.15)</f>
        <v>0</v>
      </c>
      <c r="F216" s="12"/>
      <c r="G216" s="11"/>
    </row>
    <row r="217" spans="1:7" ht="15" customHeight="1" x14ac:dyDescent="0.25">
      <c r="A217" s="8" t="s">
        <v>45</v>
      </c>
      <c r="B217" s="8" t="s">
        <v>527</v>
      </c>
      <c r="C217" s="19"/>
      <c r="D217" s="19"/>
      <c r="E217" s="20">
        <f>-(Tabla2[[#This Row],[STOCK ACTUAL]]-Tabla2[[#This Row],[CONSUMO MENSUAL]]*1.15)</f>
        <v>0</v>
      </c>
      <c r="F217" s="12"/>
      <c r="G217" s="11"/>
    </row>
    <row r="218" spans="1:7" ht="15" customHeight="1" x14ac:dyDescent="0.25">
      <c r="A218" s="8" t="s">
        <v>45</v>
      </c>
      <c r="B218" s="8" t="s">
        <v>528</v>
      </c>
      <c r="C218" s="19"/>
      <c r="D218" s="19"/>
      <c r="E218" s="20">
        <f>-(Tabla2[[#This Row],[STOCK ACTUAL]]-Tabla2[[#This Row],[CONSUMO MENSUAL]]*1.15)</f>
        <v>0</v>
      </c>
      <c r="F218" s="12"/>
      <c r="G218" s="11"/>
    </row>
    <row r="219" spans="1:7" ht="15" customHeight="1" x14ac:dyDescent="0.25">
      <c r="A219" s="8" t="s">
        <v>315</v>
      </c>
      <c r="B219" s="8" t="s">
        <v>529</v>
      </c>
      <c r="C219" s="19"/>
      <c r="D219" s="19"/>
      <c r="E219" s="20">
        <f>-(Tabla2[[#This Row],[STOCK ACTUAL]]-Tabla2[[#This Row],[CONSUMO MENSUAL]]*1.15)</f>
        <v>0</v>
      </c>
      <c r="F219" s="12"/>
      <c r="G219" s="11"/>
    </row>
    <row r="220" spans="1:7" ht="15" customHeight="1" x14ac:dyDescent="0.25">
      <c r="A220" s="8" t="s">
        <v>315</v>
      </c>
      <c r="B220" s="8" t="s">
        <v>530</v>
      </c>
      <c r="C220" s="19"/>
      <c r="D220" s="19"/>
      <c r="E220" s="20">
        <f>-(Tabla2[[#This Row],[STOCK ACTUAL]]-Tabla2[[#This Row],[CONSUMO MENSUAL]]*1.15)</f>
        <v>0</v>
      </c>
      <c r="F220" s="12"/>
      <c r="G220" s="11"/>
    </row>
    <row r="221" spans="1:7" ht="15" customHeight="1" x14ac:dyDescent="0.25">
      <c r="A221" s="8" t="s">
        <v>45</v>
      </c>
      <c r="B221" s="21" t="s">
        <v>531</v>
      </c>
      <c r="C221" s="19"/>
      <c r="D221" s="19"/>
      <c r="E221" s="20">
        <f>-(Tabla2[[#This Row],[STOCK ACTUAL]]-Tabla2[[#This Row],[CONSUMO MENSUAL]]*1.15)</f>
        <v>0</v>
      </c>
      <c r="F221" s="12"/>
      <c r="G221" s="11"/>
    </row>
    <row r="222" spans="1:7" ht="15" customHeight="1" x14ac:dyDescent="0.25">
      <c r="A222" s="8" t="s">
        <v>334</v>
      </c>
      <c r="B222" s="8" t="s">
        <v>532</v>
      </c>
      <c r="C222" s="19"/>
      <c r="D222" s="19"/>
      <c r="E222" s="20">
        <f>-(Tabla2[[#This Row],[STOCK ACTUAL]]-Tabla2[[#This Row],[CONSUMO MENSUAL]]*1.15)</f>
        <v>0</v>
      </c>
      <c r="F222" s="12"/>
      <c r="G222" s="11"/>
    </row>
    <row r="223" spans="1:7" ht="15" customHeight="1" x14ac:dyDescent="0.25">
      <c r="A223" s="8" t="s">
        <v>45</v>
      </c>
      <c r="B223" s="8" t="s">
        <v>533</v>
      </c>
      <c r="C223" s="19"/>
      <c r="D223" s="19"/>
      <c r="E223" s="20">
        <f>-(Tabla2[[#This Row],[STOCK ACTUAL]]-Tabla2[[#This Row],[CONSUMO MENSUAL]]*1.15)</f>
        <v>0</v>
      </c>
      <c r="F223" s="12"/>
      <c r="G223" s="11"/>
    </row>
    <row r="224" spans="1:7" ht="15" customHeight="1" x14ac:dyDescent="0.25">
      <c r="A224" s="8" t="s">
        <v>45</v>
      </c>
      <c r="B224" s="8" t="s">
        <v>534</v>
      </c>
      <c r="C224" s="19"/>
      <c r="D224" s="19"/>
      <c r="E224" s="20">
        <f>-(Tabla2[[#This Row],[STOCK ACTUAL]]-Tabla2[[#This Row],[CONSUMO MENSUAL]]*1.15)</f>
        <v>0</v>
      </c>
      <c r="F224" s="12"/>
      <c r="G224" s="11"/>
    </row>
    <row r="225" spans="1:7" ht="15" customHeight="1" x14ac:dyDescent="0.25">
      <c r="A225" s="8" t="s">
        <v>456</v>
      </c>
      <c r="B225" s="8" t="s">
        <v>535</v>
      </c>
      <c r="C225" s="19"/>
      <c r="D225" s="19"/>
      <c r="E225" s="20">
        <f>-(Tabla2[[#This Row],[STOCK ACTUAL]]-Tabla2[[#This Row],[CONSUMO MENSUAL]]*1.15)</f>
        <v>0</v>
      </c>
      <c r="F225" s="12"/>
      <c r="G225" s="11"/>
    </row>
    <row r="226" spans="1:7" ht="15" customHeight="1" x14ac:dyDescent="0.25">
      <c r="A226" s="8" t="s">
        <v>45</v>
      </c>
      <c r="B226" s="8" t="s">
        <v>536</v>
      </c>
      <c r="C226" s="19"/>
      <c r="D226" s="19"/>
      <c r="E226" s="20">
        <f>-(Tabla2[[#This Row],[STOCK ACTUAL]]-Tabla2[[#This Row],[CONSUMO MENSUAL]]*1.15)</f>
        <v>0</v>
      </c>
      <c r="F226" s="12"/>
      <c r="G226" s="11"/>
    </row>
    <row r="227" spans="1:7" ht="15" customHeight="1" x14ac:dyDescent="0.25">
      <c r="A227" s="8" t="s">
        <v>15</v>
      </c>
      <c r="B227" s="8" t="s">
        <v>537</v>
      </c>
      <c r="C227" s="19"/>
      <c r="D227" s="19"/>
      <c r="E227" s="20">
        <f>-(Tabla2[[#This Row],[STOCK ACTUAL]]-Tabla2[[#This Row],[CONSUMO MENSUAL]]*1.15)</f>
        <v>0</v>
      </c>
      <c r="F227" s="12"/>
      <c r="G227" s="11"/>
    </row>
    <row r="228" spans="1:7" ht="15" customHeight="1" x14ac:dyDescent="0.25">
      <c r="A228" s="8" t="s">
        <v>45</v>
      </c>
      <c r="B228" s="8" t="s">
        <v>538</v>
      </c>
      <c r="C228" s="19"/>
      <c r="D228" s="19"/>
      <c r="E228" s="20">
        <f>-(Tabla2[[#This Row],[STOCK ACTUAL]]-Tabla2[[#This Row],[CONSUMO MENSUAL]]*1.15)</f>
        <v>0</v>
      </c>
      <c r="F228" s="12"/>
      <c r="G228" s="11"/>
    </row>
    <row r="229" spans="1:7" ht="15" customHeight="1" x14ac:dyDescent="0.25">
      <c r="A229" s="8" t="s">
        <v>45</v>
      </c>
      <c r="B229" s="8" t="s">
        <v>539</v>
      </c>
      <c r="C229" s="19"/>
      <c r="D229" s="19"/>
      <c r="E229" s="20">
        <f>-(Tabla2[[#This Row],[STOCK ACTUAL]]-Tabla2[[#This Row],[CONSUMO MENSUAL]]*1.15)</f>
        <v>0</v>
      </c>
      <c r="F229" s="12"/>
      <c r="G229" s="11"/>
    </row>
    <row r="230" spans="1:7" ht="15" customHeight="1" x14ac:dyDescent="0.25">
      <c r="A230" s="8" t="s">
        <v>45</v>
      </c>
      <c r="B230" s="8" t="s">
        <v>540</v>
      </c>
      <c r="C230" s="19"/>
      <c r="D230" s="19"/>
      <c r="E230" s="20">
        <f>-(Tabla2[[#This Row],[STOCK ACTUAL]]-Tabla2[[#This Row],[CONSUMO MENSUAL]]*1.15)</f>
        <v>0</v>
      </c>
      <c r="F230" s="12"/>
      <c r="G230" s="11"/>
    </row>
    <row r="231" spans="1:7" ht="15" customHeight="1" x14ac:dyDescent="0.25">
      <c r="A231" s="8" t="s">
        <v>45</v>
      </c>
      <c r="B231" s="8" t="s">
        <v>541</v>
      </c>
      <c r="C231" s="19"/>
      <c r="D231" s="19"/>
      <c r="E231" s="20">
        <f>-(Tabla2[[#This Row],[STOCK ACTUAL]]-Tabla2[[#This Row],[CONSUMO MENSUAL]]*1.15)</f>
        <v>0</v>
      </c>
      <c r="F231" s="12"/>
      <c r="G231" s="11"/>
    </row>
    <row r="232" spans="1:7" ht="15" customHeight="1" x14ac:dyDescent="0.25">
      <c r="A232" s="8" t="s">
        <v>45</v>
      </c>
      <c r="B232" s="8" t="s">
        <v>542</v>
      </c>
      <c r="C232" s="19"/>
      <c r="D232" s="19"/>
      <c r="E232" s="20">
        <f>-(Tabla2[[#This Row],[STOCK ACTUAL]]-Tabla2[[#This Row],[CONSUMO MENSUAL]]*1.15)</f>
        <v>0</v>
      </c>
      <c r="F232" s="12"/>
      <c r="G232" s="11"/>
    </row>
    <row r="233" spans="1:7" ht="15" customHeight="1" x14ac:dyDescent="0.25">
      <c r="A233" s="8" t="s">
        <v>45</v>
      </c>
      <c r="B233" s="8" t="s">
        <v>543</v>
      </c>
      <c r="C233" s="19"/>
      <c r="D233" s="19"/>
      <c r="E233" s="20">
        <f>-(Tabla2[[#This Row],[STOCK ACTUAL]]-Tabla2[[#This Row],[CONSUMO MENSUAL]]*1.15)</f>
        <v>0</v>
      </c>
      <c r="F233" s="12"/>
      <c r="G233" s="11"/>
    </row>
    <row r="234" spans="1:7" ht="15" customHeight="1" x14ac:dyDescent="0.25">
      <c r="A234" s="8" t="s">
        <v>45</v>
      </c>
      <c r="B234" s="8" t="s">
        <v>544</v>
      </c>
      <c r="C234" s="19"/>
      <c r="D234" s="19"/>
      <c r="E234" s="20">
        <f>-(Tabla2[[#This Row],[STOCK ACTUAL]]-Tabla2[[#This Row],[CONSUMO MENSUAL]]*1.15)</f>
        <v>0</v>
      </c>
      <c r="F234" s="12"/>
      <c r="G234" s="11"/>
    </row>
    <row r="235" spans="1:7" ht="15" customHeight="1" x14ac:dyDescent="0.25">
      <c r="A235" s="8" t="s">
        <v>45</v>
      </c>
      <c r="B235" s="8" t="s">
        <v>545</v>
      </c>
      <c r="C235" s="19"/>
      <c r="D235" s="19"/>
      <c r="E235" s="20">
        <f>-(Tabla2[[#This Row],[STOCK ACTUAL]]-Tabla2[[#This Row],[CONSUMO MENSUAL]]*1.15)</f>
        <v>0</v>
      </c>
      <c r="F235" s="12"/>
      <c r="G235" s="11"/>
    </row>
    <row r="236" spans="1:7" ht="15" customHeight="1" x14ac:dyDescent="0.25">
      <c r="A236" s="8" t="s">
        <v>45</v>
      </c>
      <c r="B236" s="8" t="s">
        <v>546</v>
      </c>
      <c r="C236" s="19"/>
      <c r="D236" s="19"/>
      <c r="E236" s="20">
        <f>-(Tabla2[[#This Row],[STOCK ACTUAL]]-Tabla2[[#This Row],[CONSUMO MENSUAL]]*1.15)</f>
        <v>0</v>
      </c>
      <c r="F236" s="12"/>
      <c r="G236" s="11"/>
    </row>
    <row r="237" spans="1:7" ht="15" customHeight="1" x14ac:dyDescent="0.25">
      <c r="A237" s="8" t="s">
        <v>45</v>
      </c>
      <c r="B237" s="8" t="s">
        <v>547</v>
      </c>
      <c r="C237" s="19"/>
      <c r="D237" s="19"/>
      <c r="E237" s="20">
        <f>-(Tabla2[[#This Row],[STOCK ACTUAL]]-Tabla2[[#This Row],[CONSUMO MENSUAL]]*1.15)</f>
        <v>0</v>
      </c>
      <c r="F237" s="12"/>
      <c r="G237" s="11"/>
    </row>
    <row r="238" spans="1:7" ht="15" customHeight="1" x14ac:dyDescent="0.25">
      <c r="A238" s="8" t="s">
        <v>45</v>
      </c>
      <c r="B238" s="8" t="s">
        <v>548</v>
      </c>
      <c r="C238" s="19"/>
      <c r="D238" s="19"/>
      <c r="E238" s="20">
        <f>-(Tabla2[[#This Row],[STOCK ACTUAL]]-Tabla2[[#This Row],[CONSUMO MENSUAL]]*1.15)</f>
        <v>0</v>
      </c>
      <c r="F238" s="12"/>
      <c r="G238" s="11"/>
    </row>
    <row r="239" spans="1:7" ht="15" customHeight="1" x14ac:dyDescent="0.25">
      <c r="A239" s="8" t="s">
        <v>334</v>
      </c>
      <c r="B239" s="8" t="s">
        <v>549</v>
      </c>
      <c r="C239" s="19"/>
      <c r="D239" s="19"/>
      <c r="E239" s="20">
        <f>-(Tabla2[[#This Row],[STOCK ACTUAL]]-Tabla2[[#This Row],[CONSUMO MENSUAL]]*1.15)</f>
        <v>0</v>
      </c>
      <c r="F239" s="12"/>
      <c r="G239" s="11"/>
    </row>
    <row r="240" spans="1:7" ht="15" customHeight="1" x14ac:dyDescent="0.25">
      <c r="A240" s="8" t="s">
        <v>45</v>
      </c>
      <c r="B240" s="8" t="s">
        <v>550</v>
      </c>
      <c r="C240" s="19"/>
      <c r="D240" s="19"/>
      <c r="E240" s="20">
        <f>-(Tabla2[[#This Row],[STOCK ACTUAL]]-Tabla2[[#This Row],[CONSUMO MENSUAL]]*1.15)</f>
        <v>0</v>
      </c>
      <c r="F240" s="12"/>
      <c r="G240" s="11"/>
    </row>
    <row r="241" spans="1:7" ht="15" customHeight="1" x14ac:dyDescent="0.25">
      <c r="A241" s="8" t="s">
        <v>45</v>
      </c>
      <c r="B241" s="8" t="s">
        <v>551</v>
      </c>
      <c r="C241" s="19"/>
      <c r="D241" s="19"/>
      <c r="E241" s="20">
        <f>-(Tabla2[[#This Row],[STOCK ACTUAL]]-Tabla2[[#This Row],[CONSUMO MENSUAL]]*1.15)</f>
        <v>0</v>
      </c>
      <c r="F241" s="12"/>
      <c r="G241" s="11"/>
    </row>
    <row r="242" spans="1:7" ht="15" customHeight="1" x14ac:dyDescent="0.25">
      <c r="A242" s="8" t="s">
        <v>45</v>
      </c>
      <c r="B242" s="8" t="s">
        <v>552</v>
      </c>
      <c r="C242" s="19"/>
      <c r="D242" s="19"/>
      <c r="E242" s="20">
        <f>-(Tabla2[[#This Row],[STOCK ACTUAL]]-Tabla2[[#This Row],[CONSUMO MENSUAL]]*1.15)</f>
        <v>0</v>
      </c>
      <c r="F242" s="12"/>
      <c r="G242" s="11"/>
    </row>
    <row r="243" spans="1:7" ht="15" customHeight="1" x14ac:dyDescent="0.25">
      <c r="A243" s="8" t="s">
        <v>553</v>
      </c>
      <c r="B243" s="8" t="s">
        <v>554</v>
      </c>
      <c r="C243" s="19"/>
      <c r="D243" s="19"/>
      <c r="E243" s="20">
        <f>-(Tabla2[[#This Row],[STOCK ACTUAL]]-Tabla2[[#This Row],[CONSUMO MENSUAL]]*1.15)</f>
        <v>0</v>
      </c>
      <c r="F243" s="12"/>
      <c r="G243" s="11"/>
    </row>
    <row r="244" spans="1:7" ht="15" customHeight="1" x14ac:dyDescent="0.25">
      <c r="A244" s="8" t="s">
        <v>45</v>
      </c>
      <c r="B244" s="22" t="s">
        <v>555</v>
      </c>
      <c r="C244" s="19"/>
      <c r="D244" s="19"/>
      <c r="E244" s="20">
        <f>-(Tabla2[[#This Row],[STOCK ACTUAL]]-Tabla2[[#This Row],[CONSUMO MENSUAL]]*1.15)</f>
        <v>0</v>
      </c>
      <c r="F244" s="12"/>
      <c r="G244" s="11"/>
    </row>
    <row r="245" spans="1:7" ht="15" customHeight="1" x14ac:dyDescent="0.25">
      <c r="A245" s="8" t="s">
        <v>45</v>
      </c>
      <c r="B245" s="8" t="s">
        <v>556</v>
      </c>
      <c r="C245" s="19"/>
      <c r="D245" s="19"/>
      <c r="E245" s="20">
        <f>-(Tabla2[[#This Row],[STOCK ACTUAL]]-Tabla2[[#This Row],[CONSUMO MENSUAL]]*1.15)</f>
        <v>0</v>
      </c>
      <c r="F245" s="12"/>
      <c r="G245" s="11"/>
    </row>
    <row r="246" spans="1:7" ht="15" customHeight="1" x14ac:dyDescent="0.25">
      <c r="A246" s="8" t="s">
        <v>45</v>
      </c>
      <c r="B246" s="8" t="s">
        <v>557</v>
      </c>
      <c r="C246" s="19"/>
      <c r="D246" s="19"/>
      <c r="E246" s="20">
        <f>-(Tabla2[[#This Row],[STOCK ACTUAL]]-Tabla2[[#This Row],[CONSUMO MENSUAL]]*1.15)</f>
        <v>0</v>
      </c>
      <c r="F246" s="12"/>
      <c r="G246" s="11"/>
    </row>
    <row r="247" spans="1:7" ht="15" customHeight="1" x14ac:dyDescent="0.25">
      <c r="A247" s="8" t="s">
        <v>45</v>
      </c>
      <c r="B247" s="8" t="s">
        <v>558</v>
      </c>
      <c r="C247" s="19"/>
      <c r="D247" s="19"/>
      <c r="E247" s="20">
        <f>-(Tabla2[[#This Row],[STOCK ACTUAL]]-Tabla2[[#This Row],[CONSUMO MENSUAL]]*1.15)</f>
        <v>0</v>
      </c>
      <c r="F247" s="12"/>
      <c r="G247" s="11"/>
    </row>
    <row r="248" spans="1:7" ht="15" customHeight="1" x14ac:dyDescent="0.25">
      <c r="A248" s="8" t="s">
        <v>45</v>
      </c>
      <c r="B248" s="8" t="s">
        <v>559</v>
      </c>
      <c r="C248" s="19"/>
      <c r="D248" s="19"/>
      <c r="E248" s="20">
        <f>-(Tabla2[[#This Row],[STOCK ACTUAL]]-Tabla2[[#This Row],[CONSUMO MENSUAL]]*1.15)</f>
        <v>0</v>
      </c>
      <c r="F248" s="12"/>
      <c r="G248" s="11"/>
    </row>
    <row r="249" spans="1:7" ht="15" customHeight="1" x14ac:dyDescent="0.25">
      <c r="A249" s="8" t="s">
        <v>45</v>
      </c>
      <c r="B249" s="8" t="s">
        <v>560</v>
      </c>
      <c r="C249" s="19"/>
      <c r="D249" s="19"/>
      <c r="E249" s="20">
        <f>-(Tabla2[[#This Row],[STOCK ACTUAL]]-Tabla2[[#This Row],[CONSUMO MENSUAL]]*1.15)</f>
        <v>0</v>
      </c>
      <c r="F249" s="12"/>
      <c r="G249" s="11"/>
    </row>
    <row r="250" spans="1:7" ht="15" customHeight="1" x14ac:dyDescent="0.25">
      <c r="A250" s="8" t="s">
        <v>45</v>
      </c>
      <c r="B250" s="8" t="s">
        <v>561</v>
      </c>
      <c r="C250" s="19"/>
      <c r="D250" s="19"/>
      <c r="E250" s="20">
        <f>-(Tabla2[[#This Row],[STOCK ACTUAL]]-Tabla2[[#This Row],[CONSUMO MENSUAL]]*1.15)</f>
        <v>0</v>
      </c>
      <c r="F250" s="12"/>
      <c r="G250" s="11"/>
    </row>
    <row r="251" spans="1:7" ht="15" customHeight="1" x14ac:dyDescent="0.25">
      <c r="A251" s="8" t="s">
        <v>45</v>
      </c>
      <c r="B251" s="8" t="s">
        <v>562</v>
      </c>
      <c r="C251" s="19"/>
      <c r="D251" s="19"/>
      <c r="E251" s="20">
        <f>-(Tabla2[[#This Row],[STOCK ACTUAL]]-Tabla2[[#This Row],[CONSUMO MENSUAL]]*1.15)</f>
        <v>0</v>
      </c>
      <c r="F251" s="12"/>
      <c r="G251" s="11"/>
    </row>
    <row r="252" spans="1:7" ht="15" customHeight="1" x14ac:dyDescent="0.25">
      <c r="A252" s="8" t="s">
        <v>45</v>
      </c>
      <c r="B252" s="8" t="s">
        <v>563</v>
      </c>
      <c r="C252" s="19"/>
      <c r="D252" s="19"/>
      <c r="E252" s="20">
        <f>-(Tabla2[[#This Row],[STOCK ACTUAL]]-Tabla2[[#This Row],[CONSUMO MENSUAL]]*1.15)</f>
        <v>0</v>
      </c>
      <c r="F252" s="12"/>
      <c r="G252" s="11"/>
    </row>
    <row r="253" spans="1:7" ht="15" customHeight="1" x14ac:dyDescent="0.25">
      <c r="A253" s="8" t="s">
        <v>45</v>
      </c>
      <c r="B253" s="8" t="s">
        <v>564</v>
      </c>
      <c r="C253" s="19"/>
      <c r="D253" s="19"/>
      <c r="E253" s="20">
        <f>-(Tabla2[[#This Row],[STOCK ACTUAL]]-Tabla2[[#This Row],[CONSUMO MENSUAL]]*1.15)</f>
        <v>0</v>
      </c>
      <c r="F253" s="12"/>
      <c r="G253" s="11"/>
    </row>
    <row r="254" spans="1:7" ht="15" customHeight="1" x14ac:dyDescent="0.25">
      <c r="A254" s="8" t="s">
        <v>45</v>
      </c>
      <c r="B254" s="8" t="s">
        <v>565</v>
      </c>
      <c r="C254" s="19"/>
      <c r="D254" s="19"/>
      <c r="E254" s="20">
        <f>-(Tabla2[[#This Row],[STOCK ACTUAL]]-Tabla2[[#This Row],[CONSUMO MENSUAL]]*1.15)</f>
        <v>0</v>
      </c>
      <c r="F254" s="12"/>
      <c r="G254" s="11"/>
    </row>
    <row r="255" spans="1:7" ht="15" customHeight="1" x14ac:dyDescent="0.25">
      <c r="A255" s="8" t="s">
        <v>45</v>
      </c>
      <c r="B255" s="8" t="s">
        <v>566</v>
      </c>
      <c r="C255" s="19"/>
      <c r="D255" s="19"/>
      <c r="E255" s="20">
        <f>-(Tabla2[[#This Row],[STOCK ACTUAL]]-Tabla2[[#This Row],[CONSUMO MENSUAL]]*1.15)</f>
        <v>0</v>
      </c>
      <c r="F255" s="12"/>
      <c r="G255" s="11"/>
    </row>
    <row r="256" spans="1:7" ht="15" customHeight="1" x14ac:dyDescent="0.25">
      <c r="A256" s="8" t="s">
        <v>45</v>
      </c>
      <c r="B256" s="8" t="s">
        <v>567</v>
      </c>
      <c r="C256" s="19"/>
      <c r="D256" s="19"/>
      <c r="E256" s="20">
        <f>-(Tabla2[[#This Row],[STOCK ACTUAL]]-Tabla2[[#This Row],[CONSUMO MENSUAL]]*1.15)</f>
        <v>0</v>
      </c>
      <c r="F256" s="12"/>
      <c r="G256" s="11"/>
    </row>
    <row r="257" spans="1:7" ht="15" customHeight="1" x14ac:dyDescent="0.25">
      <c r="A257" s="8" t="s">
        <v>45</v>
      </c>
      <c r="B257" s="8" t="s">
        <v>568</v>
      </c>
      <c r="C257" s="19"/>
      <c r="D257" s="19"/>
      <c r="E257" s="20">
        <f>-(Tabla2[[#This Row],[STOCK ACTUAL]]-Tabla2[[#This Row],[CONSUMO MENSUAL]]*1.15)</f>
        <v>0</v>
      </c>
      <c r="F257" s="12"/>
      <c r="G257" s="11"/>
    </row>
    <row r="258" spans="1:7" ht="15" customHeight="1" x14ac:dyDescent="0.25">
      <c r="A258" s="8" t="s">
        <v>45</v>
      </c>
      <c r="B258" s="8" t="s">
        <v>569</v>
      </c>
      <c r="C258" s="19"/>
      <c r="D258" s="19"/>
      <c r="E258" s="20">
        <f>-(Tabla2[[#This Row],[STOCK ACTUAL]]-Tabla2[[#This Row],[CONSUMO MENSUAL]]*1.15)</f>
        <v>0</v>
      </c>
      <c r="F258" s="12"/>
      <c r="G258" s="11"/>
    </row>
    <row r="259" spans="1:7" ht="15" customHeight="1" x14ac:dyDescent="0.25">
      <c r="A259" s="8" t="s">
        <v>45</v>
      </c>
      <c r="B259" s="8" t="s">
        <v>570</v>
      </c>
      <c r="C259" s="19"/>
      <c r="D259" s="19"/>
      <c r="E259" s="20">
        <f>-(Tabla2[[#This Row],[STOCK ACTUAL]]-Tabla2[[#This Row],[CONSUMO MENSUAL]]*1.15)</f>
        <v>0</v>
      </c>
      <c r="F259" s="12"/>
      <c r="G259" s="11"/>
    </row>
    <row r="260" spans="1:7" ht="15" customHeight="1" x14ac:dyDescent="0.25">
      <c r="A260" s="8" t="s">
        <v>45</v>
      </c>
      <c r="B260" s="8" t="s">
        <v>571</v>
      </c>
      <c r="C260" s="19"/>
      <c r="D260" s="19"/>
      <c r="E260" s="20">
        <f>-(Tabla2[[#This Row],[STOCK ACTUAL]]-Tabla2[[#This Row],[CONSUMO MENSUAL]]*1.15)</f>
        <v>0</v>
      </c>
      <c r="F260" s="12"/>
      <c r="G260" s="11"/>
    </row>
    <row r="261" spans="1:7" ht="15" customHeight="1" x14ac:dyDescent="0.25">
      <c r="A261" s="8" t="s">
        <v>45</v>
      </c>
      <c r="B261" s="8" t="s">
        <v>572</v>
      </c>
      <c r="C261" s="19"/>
      <c r="D261" s="19"/>
      <c r="E261" s="20">
        <f>-(Tabla2[[#This Row],[STOCK ACTUAL]]-Tabla2[[#This Row],[CONSUMO MENSUAL]]*1.15)</f>
        <v>0</v>
      </c>
      <c r="F261" s="12"/>
      <c r="G261" s="11"/>
    </row>
    <row r="262" spans="1:7" ht="15" customHeight="1" x14ac:dyDescent="0.25">
      <c r="A262" s="8" t="s">
        <v>45</v>
      </c>
      <c r="B262" s="8" t="s">
        <v>573</v>
      </c>
      <c r="C262" s="19"/>
      <c r="D262" s="19"/>
      <c r="E262" s="20">
        <f>-(Tabla2[[#This Row],[STOCK ACTUAL]]-Tabla2[[#This Row],[CONSUMO MENSUAL]]*1.15)</f>
        <v>0</v>
      </c>
      <c r="F262" s="12"/>
      <c r="G262" s="11"/>
    </row>
    <row r="263" spans="1:7" ht="15" customHeight="1" x14ac:dyDescent="0.25">
      <c r="A263" s="8" t="s">
        <v>45</v>
      </c>
      <c r="B263" s="8" t="s">
        <v>574</v>
      </c>
      <c r="C263" s="19"/>
      <c r="D263" s="19"/>
      <c r="E263" s="20">
        <f>-(Tabla2[[#This Row],[STOCK ACTUAL]]-Tabla2[[#This Row],[CONSUMO MENSUAL]]*1.15)</f>
        <v>0</v>
      </c>
      <c r="F263" s="12"/>
      <c r="G263" s="11"/>
    </row>
    <row r="264" spans="1:7" ht="15" customHeight="1" x14ac:dyDescent="0.25">
      <c r="A264" s="8" t="s">
        <v>45</v>
      </c>
      <c r="B264" s="8" t="s">
        <v>575</v>
      </c>
      <c r="C264" s="19"/>
      <c r="D264" s="19"/>
      <c r="E264" s="20">
        <f>-(Tabla2[[#This Row],[STOCK ACTUAL]]-Tabla2[[#This Row],[CONSUMO MENSUAL]]*1.15)</f>
        <v>0</v>
      </c>
      <c r="F264" s="12"/>
      <c r="G264" s="11"/>
    </row>
    <row r="265" spans="1:7" ht="15" customHeight="1" x14ac:dyDescent="0.25">
      <c r="A265" s="8" t="s">
        <v>45</v>
      </c>
      <c r="B265" s="8" t="s">
        <v>576</v>
      </c>
      <c r="C265" s="19"/>
      <c r="D265" s="19"/>
      <c r="E265" s="20">
        <f>-(Tabla2[[#This Row],[STOCK ACTUAL]]-Tabla2[[#This Row],[CONSUMO MENSUAL]]*1.15)</f>
        <v>0</v>
      </c>
      <c r="F265" s="12"/>
      <c r="G265" s="11"/>
    </row>
    <row r="266" spans="1:7" ht="15" customHeight="1" x14ac:dyDescent="0.25">
      <c r="A266" s="8" t="s">
        <v>45</v>
      </c>
      <c r="B266" s="8" t="s">
        <v>577</v>
      </c>
      <c r="C266" s="19"/>
      <c r="D266" s="19"/>
      <c r="E266" s="20">
        <f>-(Tabla2[[#This Row],[STOCK ACTUAL]]-Tabla2[[#This Row],[CONSUMO MENSUAL]]*1.15)</f>
        <v>0</v>
      </c>
      <c r="F266" s="12"/>
      <c r="G266" s="11"/>
    </row>
    <row r="267" spans="1:7" ht="15" customHeight="1" x14ac:dyDescent="0.25">
      <c r="A267" s="8" t="s">
        <v>45</v>
      </c>
      <c r="B267" s="8" t="s">
        <v>578</v>
      </c>
      <c r="C267" s="19"/>
      <c r="D267" s="19"/>
      <c r="E267" s="20">
        <f>-(Tabla2[[#This Row],[STOCK ACTUAL]]-Tabla2[[#This Row],[CONSUMO MENSUAL]]*1.15)</f>
        <v>0</v>
      </c>
      <c r="F267" s="12"/>
      <c r="G267" s="11"/>
    </row>
    <row r="268" spans="1:7" ht="15" customHeight="1" x14ac:dyDescent="0.25">
      <c r="A268" s="8" t="s">
        <v>45</v>
      </c>
      <c r="B268" s="8" t="s">
        <v>579</v>
      </c>
      <c r="C268" s="19"/>
      <c r="D268" s="19"/>
      <c r="E268" s="20">
        <f>-(Tabla2[[#This Row],[STOCK ACTUAL]]-Tabla2[[#This Row],[CONSUMO MENSUAL]]*1.15)</f>
        <v>0</v>
      </c>
      <c r="F268" s="12"/>
      <c r="G268" s="11"/>
    </row>
    <row r="269" spans="1:7" ht="15" customHeight="1" x14ac:dyDescent="0.25">
      <c r="A269" s="8" t="s">
        <v>45</v>
      </c>
      <c r="B269" s="8" t="s">
        <v>580</v>
      </c>
      <c r="C269" s="19"/>
      <c r="D269" s="19"/>
      <c r="E269" s="20">
        <f>-(Tabla2[[#This Row],[STOCK ACTUAL]]-Tabla2[[#This Row],[CONSUMO MENSUAL]]*1.15)</f>
        <v>0</v>
      </c>
      <c r="F269" s="12"/>
      <c r="G269" s="11"/>
    </row>
    <row r="270" spans="1:7" ht="15" customHeight="1" x14ac:dyDescent="0.25">
      <c r="A270" s="8" t="s">
        <v>45</v>
      </c>
      <c r="B270" s="8" t="s">
        <v>581</v>
      </c>
      <c r="C270" s="19"/>
      <c r="D270" s="19"/>
      <c r="E270" s="20">
        <f>-(Tabla2[[#This Row],[STOCK ACTUAL]]-Tabla2[[#This Row],[CONSUMO MENSUAL]]*1.15)</f>
        <v>0</v>
      </c>
      <c r="F270" s="12"/>
      <c r="G270" s="11"/>
    </row>
    <row r="271" spans="1:7" ht="15" customHeight="1" x14ac:dyDescent="0.25">
      <c r="A271" s="8" t="s">
        <v>45</v>
      </c>
      <c r="B271" s="8" t="s">
        <v>582</v>
      </c>
      <c r="C271" s="19"/>
      <c r="D271" s="19"/>
      <c r="E271" s="20">
        <f>-(Tabla2[[#This Row],[STOCK ACTUAL]]-Tabla2[[#This Row],[CONSUMO MENSUAL]]*1.15)</f>
        <v>0</v>
      </c>
      <c r="F271" s="12"/>
      <c r="G271" s="11"/>
    </row>
    <row r="272" spans="1:7" ht="15" customHeight="1" x14ac:dyDescent="0.25">
      <c r="A272" s="8" t="s">
        <v>45</v>
      </c>
      <c r="B272" s="8" t="s">
        <v>583</v>
      </c>
      <c r="C272" s="19"/>
      <c r="D272" s="19"/>
      <c r="E272" s="20">
        <f>-(Tabla2[[#This Row],[STOCK ACTUAL]]-Tabla2[[#This Row],[CONSUMO MENSUAL]]*1.15)</f>
        <v>0</v>
      </c>
      <c r="F272" s="12"/>
      <c r="G272" s="11"/>
    </row>
    <row r="273" spans="1:7" ht="15" customHeight="1" x14ac:dyDescent="0.25">
      <c r="A273" s="8" t="s">
        <v>45</v>
      </c>
      <c r="B273" s="8" t="s">
        <v>584</v>
      </c>
      <c r="C273" s="19"/>
      <c r="D273" s="19"/>
      <c r="E273" s="20">
        <f>-(Tabla2[[#This Row],[STOCK ACTUAL]]-Tabla2[[#This Row],[CONSUMO MENSUAL]]*1.15)</f>
        <v>0</v>
      </c>
      <c r="F273" s="12"/>
      <c r="G273" s="11"/>
    </row>
    <row r="274" spans="1:7" ht="15" customHeight="1" x14ac:dyDescent="0.25">
      <c r="A274" s="8" t="s">
        <v>45</v>
      </c>
      <c r="B274" s="8" t="s">
        <v>585</v>
      </c>
      <c r="C274" s="19"/>
      <c r="D274" s="19"/>
      <c r="E274" s="20">
        <f>-(Tabla2[[#This Row],[STOCK ACTUAL]]-Tabla2[[#This Row],[CONSUMO MENSUAL]]*1.15)</f>
        <v>0</v>
      </c>
      <c r="F274" s="12"/>
      <c r="G274" s="11"/>
    </row>
    <row r="275" spans="1:7" ht="15" customHeight="1" x14ac:dyDescent="0.25">
      <c r="A275" s="8" t="s">
        <v>45</v>
      </c>
      <c r="B275" s="8" t="s">
        <v>586</v>
      </c>
      <c r="C275" s="19"/>
      <c r="D275" s="19"/>
      <c r="E275" s="20">
        <f>-(Tabla2[[#This Row],[STOCK ACTUAL]]-Tabla2[[#This Row],[CONSUMO MENSUAL]]*1.15)</f>
        <v>0</v>
      </c>
      <c r="F275" s="12"/>
      <c r="G275" s="11"/>
    </row>
    <row r="276" spans="1:7" ht="15" customHeight="1" x14ac:dyDescent="0.25">
      <c r="A276" s="8" t="s">
        <v>45</v>
      </c>
      <c r="B276" s="8" t="s">
        <v>587</v>
      </c>
      <c r="C276" s="19"/>
      <c r="D276" s="19"/>
      <c r="E276" s="20">
        <f>-(Tabla2[[#This Row],[STOCK ACTUAL]]-Tabla2[[#This Row],[CONSUMO MENSUAL]]*1.15)</f>
        <v>0</v>
      </c>
      <c r="F276" s="12"/>
      <c r="G276" s="11"/>
    </row>
    <row r="277" spans="1:7" ht="15" customHeight="1" x14ac:dyDescent="0.25">
      <c r="A277" s="8" t="s">
        <v>45</v>
      </c>
      <c r="B277" s="8" t="s">
        <v>588</v>
      </c>
      <c r="C277" s="19"/>
      <c r="D277" s="19"/>
      <c r="E277" s="20">
        <f>-(Tabla2[[#This Row],[STOCK ACTUAL]]-Tabla2[[#This Row],[CONSUMO MENSUAL]]*1.15)</f>
        <v>0</v>
      </c>
      <c r="F277" s="12"/>
      <c r="G277" s="11"/>
    </row>
    <row r="278" spans="1:7" ht="15" customHeight="1" x14ac:dyDescent="0.25">
      <c r="A278" s="8" t="s">
        <v>45</v>
      </c>
      <c r="B278" s="8" t="s">
        <v>589</v>
      </c>
      <c r="C278" s="19"/>
      <c r="D278" s="19"/>
      <c r="E278" s="20">
        <f>-(Tabla2[[#This Row],[STOCK ACTUAL]]-Tabla2[[#This Row],[CONSUMO MENSUAL]]*1.15)</f>
        <v>0</v>
      </c>
      <c r="F278" s="12"/>
      <c r="G278" s="11"/>
    </row>
    <row r="279" spans="1:7" ht="15" customHeight="1" x14ac:dyDescent="0.25">
      <c r="A279" s="8" t="s">
        <v>45</v>
      </c>
      <c r="B279" s="8" t="s">
        <v>590</v>
      </c>
      <c r="C279" s="19"/>
      <c r="D279" s="19"/>
      <c r="E279" s="20">
        <f>-(Tabla2[[#This Row],[STOCK ACTUAL]]-Tabla2[[#This Row],[CONSUMO MENSUAL]]*1.15)</f>
        <v>0</v>
      </c>
      <c r="F279" s="12"/>
      <c r="G279" s="11"/>
    </row>
    <row r="280" spans="1:7" ht="15" customHeight="1" x14ac:dyDescent="0.25">
      <c r="A280" s="8" t="s">
        <v>45</v>
      </c>
      <c r="B280" s="8" t="s">
        <v>591</v>
      </c>
      <c r="C280" s="19"/>
      <c r="D280" s="19"/>
      <c r="E280" s="20">
        <f>-(Tabla2[[#This Row],[STOCK ACTUAL]]-Tabla2[[#This Row],[CONSUMO MENSUAL]]*1.15)</f>
        <v>0</v>
      </c>
      <c r="F280" s="12"/>
      <c r="G280" s="11"/>
    </row>
    <row r="281" spans="1:7" ht="15" customHeight="1" x14ac:dyDescent="0.25">
      <c r="A281" s="8" t="s">
        <v>45</v>
      </c>
      <c r="B281" s="8" t="s">
        <v>592</v>
      </c>
      <c r="C281" s="19"/>
      <c r="D281" s="19"/>
      <c r="E281" s="20">
        <f>-(Tabla2[[#This Row],[STOCK ACTUAL]]-Tabla2[[#This Row],[CONSUMO MENSUAL]]*1.15)</f>
        <v>0</v>
      </c>
      <c r="F281" s="12"/>
      <c r="G281" s="11"/>
    </row>
    <row r="282" spans="1:7" ht="15" customHeight="1" x14ac:dyDescent="0.25">
      <c r="A282" s="8" t="s">
        <v>45</v>
      </c>
      <c r="B282" s="8" t="s">
        <v>593</v>
      </c>
      <c r="C282" s="19"/>
      <c r="D282" s="19"/>
      <c r="E282" s="20">
        <f>-(Tabla2[[#This Row],[STOCK ACTUAL]]-Tabla2[[#This Row],[CONSUMO MENSUAL]]*1.15)</f>
        <v>0</v>
      </c>
      <c r="F282" s="12"/>
      <c r="G282" s="11"/>
    </row>
    <row r="283" spans="1:7" ht="15" customHeight="1" x14ac:dyDescent="0.25">
      <c r="A283" s="8" t="s">
        <v>45</v>
      </c>
      <c r="B283" s="8" t="s">
        <v>594</v>
      </c>
      <c r="C283" s="19"/>
      <c r="D283" s="19"/>
      <c r="E283" s="20">
        <f>-(Tabla2[[#This Row],[STOCK ACTUAL]]-Tabla2[[#This Row],[CONSUMO MENSUAL]]*1.15)</f>
        <v>0</v>
      </c>
      <c r="F283" s="12"/>
      <c r="G283" s="11"/>
    </row>
    <row r="284" spans="1:7" ht="15" customHeight="1" x14ac:dyDescent="0.25">
      <c r="A284" s="8" t="s">
        <v>45</v>
      </c>
      <c r="B284" s="8" t="s">
        <v>595</v>
      </c>
      <c r="C284" s="19"/>
      <c r="D284" s="19"/>
      <c r="E284" s="20">
        <f>-(Tabla2[[#This Row],[STOCK ACTUAL]]-Tabla2[[#This Row],[CONSUMO MENSUAL]]*1.15)</f>
        <v>0</v>
      </c>
      <c r="F284" s="12"/>
      <c r="G284" s="11"/>
    </row>
    <row r="285" spans="1:7" ht="15" customHeight="1" x14ac:dyDescent="0.25">
      <c r="A285" s="8" t="s">
        <v>45</v>
      </c>
      <c r="B285" s="8" t="s">
        <v>596</v>
      </c>
      <c r="C285" s="19"/>
      <c r="D285" s="19"/>
      <c r="E285" s="20">
        <f>-(Tabla2[[#This Row],[STOCK ACTUAL]]-Tabla2[[#This Row],[CONSUMO MENSUAL]]*1.15)</f>
        <v>0</v>
      </c>
      <c r="F285" s="12"/>
      <c r="G285" s="11"/>
    </row>
    <row r="286" spans="1:7" ht="15" customHeight="1" x14ac:dyDescent="0.25">
      <c r="A286" s="8" t="s">
        <v>45</v>
      </c>
      <c r="B286" s="8" t="s">
        <v>597</v>
      </c>
      <c r="C286" s="19"/>
      <c r="D286" s="19"/>
      <c r="E286" s="20">
        <f>-(Tabla2[[#This Row],[STOCK ACTUAL]]-Tabla2[[#This Row],[CONSUMO MENSUAL]]*1.15)</f>
        <v>0</v>
      </c>
      <c r="F286" s="12"/>
      <c r="G286" s="11"/>
    </row>
    <row r="287" spans="1:7" ht="15" customHeight="1" x14ac:dyDescent="0.25">
      <c r="A287" s="8" t="s">
        <v>45</v>
      </c>
      <c r="B287" s="8" t="s">
        <v>598</v>
      </c>
      <c r="C287" s="19"/>
      <c r="D287" s="19"/>
      <c r="E287" s="20">
        <f>-(Tabla2[[#This Row],[STOCK ACTUAL]]-Tabla2[[#This Row],[CONSUMO MENSUAL]]*1.15)</f>
        <v>0</v>
      </c>
      <c r="F287" s="12"/>
      <c r="G287" s="11"/>
    </row>
    <row r="288" spans="1:7" ht="15" customHeight="1" x14ac:dyDescent="0.25">
      <c r="A288" s="8" t="s">
        <v>45</v>
      </c>
      <c r="B288" s="8" t="s">
        <v>599</v>
      </c>
      <c r="C288" s="19"/>
      <c r="D288" s="19"/>
      <c r="E288" s="20">
        <f>-(Tabla2[[#This Row],[STOCK ACTUAL]]-Tabla2[[#This Row],[CONSUMO MENSUAL]]*1.15)</f>
        <v>0</v>
      </c>
      <c r="F288" s="12"/>
      <c r="G288" s="11"/>
    </row>
    <row r="289" spans="1:8" ht="15" customHeight="1" x14ac:dyDescent="0.25">
      <c r="A289" s="8" t="s">
        <v>45</v>
      </c>
      <c r="B289" s="8" t="s">
        <v>600</v>
      </c>
      <c r="C289" s="19"/>
      <c r="D289" s="19"/>
      <c r="E289" s="20">
        <f>-(Tabla2[[#This Row],[STOCK ACTUAL]]-Tabla2[[#This Row],[CONSUMO MENSUAL]]*1.15)</f>
        <v>0</v>
      </c>
      <c r="F289" s="12"/>
      <c r="G289" s="11"/>
    </row>
    <row r="290" spans="1:8" ht="15" customHeight="1" x14ac:dyDescent="0.25">
      <c r="A290" s="8" t="s">
        <v>45</v>
      </c>
      <c r="B290" s="8" t="s">
        <v>601</v>
      </c>
      <c r="C290" s="19"/>
      <c r="D290" s="19"/>
      <c r="E290" s="20">
        <f>-(Tabla2[[#This Row],[STOCK ACTUAL]]-Tabla2[[#This Row],[CONSUMO MENSUAL]]*1.15)</f>
        <v>0</v>
      </c>
      <c r="F290" s="12"/>
      <c r="G290" s="11"/>
    </row>
    <row r="291" spans="1:8" ht="15" customHeight="1" x14ac:dyDescent="0.25">
      <c r="A291" s="8" t="s">
        <v>45</v>
      </c>
      <c r="B291" s="8" t="s">
        <v>602</v>
      </c>
      <c r="C291" s="19"/>
      <c r="D291" s="19"/>
      <c r="E291" s="20">
        <f>-(Tabla2[[#This Row],[STOCK ACTUAL]]-Tabla2[[#This Row],[CONSUMO MENSUAL]]*1.15)</f>
        <v>0</v>
      </c>
      <c r="F291" s="12"/>
      <c r="G291" s="11"/>
    </row>
    <row r="292" spans="1:8" ht="15" customHeight="1" x14ac:dyDescent="0.25">
      <c r="A292" s="8" t="s">
        <v>45</v>
      </c>
      <c r="B292" s="8" t="s">
        <v>603</v>
      </c>
      <c r="C292" s="19"/>
      <c r="D292" s="19"/>
      <c r="E292" s="20">
        <f>-(Tabla2[[#This Row],[STOCK ACTUAL]]-Tabla2[[#This Row],[CONSUMO MENSUAL]]*1.15)</f>
        <v>0</v>
      </c>
      <c r="F292" s="12"/>
      <c r="G292" s="11"/>
    </row>
    <row r="293" spans="1:8" ht="15" customHeight="1" x14ac:dyDescent="0.25">
      <c r="A293" s="8" t="s">
        <v>45</v>
      </c>
      <c r="B293" s="8" t="s">
        <v>604</v>
      </c>
      <c r="C293" s="19"/>
      <c r="D293" s="19"/>
      <c r="E293" s="20">
        <f>-(Tabla2[[#This Row],[STOCK ACTUAL]]-Tabla2[[#This Row],[CONSUMO MENSUAL]]*1.15)</f>
        <v>0</v>
      </c>
      <c r="F293" s="12"/>
      <c r="G293" s="11"/>
    </row>
    <row r="294" spans="1:8" ht="15" customHeight="1" x14ac:dyDescent="0.25">
      <c r="A294" s="8" t="s">
        <v>45</v>
      </c>
      <c r="B294" s="8" t="s">
        <v>605</v>
      </c>
      <c r="C294" s="19"/>
      <c r="D294" s="19"/>
      <c r="E294" s="20">
        <f>-(Tabla2[[#This Row],[STOCK ACTUAL]]-Tabla2[[#This Row],[CONSUMO MENSUAL]]*1.15)</f>
        <v>0</v>
      </c>
      <c r="F294" s="12"/>
      <c r="G294" s="11"/>
    </row>
    <row r="295" spans="1:8" ht="15" customHeight="1" x14ac:dyDescent="0.25">
      <c r="A295" s="8" t="s">
        <v>45</v>
      </c>
      <c r="B295" s="8" t="s">
        <v>606</v>
      </c>
      <c r="C295" s="19"/>
      <c r="D295" s="19"/>
      <c r="E295" s="20">
        <f>-(Tabla2[[#This Row],[STOCK ACTUAL]]-Tabla2[[#This Row],[CONSUMO MENSUAL]]*1.15)</f>
        <v>0</v>
      </c>
      <c r="F295" s="12"/>
      <c r="G295" s="11"/>
      <c r="H295" s="2" t="s">
        <v>607</v>
      </c>
    </row>
    <row r="296" spans="1:8" ht="15" customHeight="1" x14ac:dyDescent="0.25">
      <c r="A296" s="8" t="s">
        <v>45</v>
      </c>
      <c r="B296" s="8" t="s">
        <v>608</v>
      </c>
      <c r="C296" s="19"/>
      <c r="D296" s="19"/>
      <c r="E296" s="20">
        <f>-(Tabla2[[#This Row],[STOCK ACTUAL]]-Tabla2[[#This Row],[CONSUMO MENSUAL]]*1.15)</f>
        <v>0</v>
      </c>
      <c r="F296" s="12"/>
      <c r="G296" s="11"/>
      <c r="H296" s="2" t="s">
        <v>607</v>
      </c>
    </row>
    <row r="297" spans="1:8" ht="15" customHeight="1" x14ac:dyDescent="0.25">
      <c r="A297" s="8" t="s">
        <v>45</v>
      </c>
      <c r="B297" s="8" t="s">
        <v>609</v>
      </c>
      <c r="C297" s="19"/>
      <c r="D297" s="19"/>
      <c r="E297" s="20">
        <f>-(Tabla2[[#This Row],[STOCK ACTUAL]]-Tabla2[[#This Row],[CONSUMO MENSUAL]]*1.15)</f>
        <v>0</v>
      </c>
      <c r="F297" s="12"/>
      <c r="G297" s="11"/>
      <c r="H297" s="2" t="s">
        <v>607</v>
      </c>
    </row>
    <row r="298" spans="1:8" ht="15" customHeight="1" x14ac:dyDescent="0.25">
      <c r="A298" s="8" t="s">
        <v>45</v>
      </c>
      <c r="B298" s="8" t="s">
        <v>610</v>
      </c>
      <c r="C298" s="19"/>
      <c r="D298" s="19"/>
      <c r="E298" s="20">
        <f>-(Tabla2[[#This Row],[STOCK ACTUAL]]-Tabla2[[#This Row],[CONSUMO MENSUAL]]*1.15)</f>
        <v>0</v>
      </c>
      <c r="F298" s="12"/>
      <c r="G298" s="11"/>
      <c r="H298" s="2" t="s">
        <v>607</v>
      </c>
    </row>
    <row r="299" spans="1:8" ht="15" customHeight="1" x14ac:dyDescent="0.25">
      <c r="A299" s="8" t="s">
        <v>45</v>
      </c>
      <c r="B299" s="8" t="s">
        <v>611</v>
      </c>
      <c r="C299" s="19"/>
      <c r="D299" s="19"/>
      <c r="E299" s="20">
        <f>-(Tabla2[[#This Row],[STOCK ACTUAL]]-Tabla2[[#This Row],[CONSUMO MENSUAL]]*1.15)</f>
        <v>0</v>
      </c>
      <c r="F299" s="12"/>
      <c r="G299" s="11"/>
      <c r="H299" s="2" t="s">
        <v>607</v>
      </c>
    </row>
    <row r="300" spans="1:8" ht="15" customHeight="1" x14ac:dyDescent="0.25">
      <c r="A300" s="8" t="s">
        <v>45</v>
      </c>
      <c r="B300" s="8" t="s">
        <v>612</v>
      </c>
      <c r="C300" s="19"/>
      <c r="D300" s="19"/>
      <c r="E300" s="20">
        <f>-(Tabla2[[#This Row],[STOCK ACTUAL]]-Tabla2[[#This Row],[CONSUMO MENSUAL]]*1.15)</f>
        <v>0</v>
      </c>
      <c r="F300" s="12"/>
      <c r="G300" s="11"/>
      <c r="H300" s="2" t="s">
        <v>607</v>
      </c>
    </row>
    <row r="301" spans="1:8" ht="15" customHeight="1" x14ac:dyDescent="0.25">
      <c r="A301" s="8" t="s">
        <v>45</v>
      </c>
      <c r="B301" s="8" t="s">
        <v>613</v>
      </c>
      <c r="C301" s="19"/>
      <c r="D301" s="19"/>
      <c r="E301" s="20">
        <f>-(Tabla2[[#This Row],[STOCK ACTUAL]]-Tabla2[[#This Row],[CONSUMO MENSUAL]]*1.15)</f>
        <v>0</v>
      </c>
      <c r="F301" s="12"/>
      <c r="G301" s="11"/>
      <c r="H301" s="2" t="s">
        <v>607</v>
      </c>
    </row>
    <row r="302" spans="1:8" ht="15" customHeight="1" x14ac:dyDescent="0.25">
      <c r="A302" s="8" t="s">
        <v>334</v>
      </c>
      <c r="B302" s="8" t="s">
        <v>614</v>
      </c>
      <c r="C302" s="19"/>
      <c r="D302" s="19"/>
      <c r="E302" s="20">
        <f>-(Tabla2[[#This Row],[STOCK ACTUAL]]-Tabla2[[#This Row],[CONSUMO MENSUAL]]*1.15)</f>
        <v>0</v>
      </c>
      <c r="F302" s="12"/>
      <c r="G302" s="11"/>
      <c r="H302" s="2" t="s">
        <v>607</v>
      </c>
    </row>
    <row r="303" spans="1:8" ht="15" customHeight="1" x14ac:dyDescent="0.25">
      <c r="A303" s="8" t="s">
        <v>365</v>
      </c>
      <c r="B303" s="8" t="s">
        <v>615</v>
      </c>
      <c r="C303" s="19"/>
      <c r="D303" s="19"/>
      <c r="E303" s="20">
        <f>-(Tabla2[[#This Row],[STOCK ACTUAL]]-Tabla2[[#This Row],[CONSUMO MENSUAL]]*1.15)</f>
        <v>0</v>
      </c>
      <c r="F303" s="12"/>
      <c r="G303" s="11"/>
    </row>
    <row r="304" spans="1:8" ht="15" customHeight="1" x14ac:dyDescent="0.25">
      <c r="A304" s="8" t="s">
        <v>45</v>
      </c>
      <c r="B304" s="8" t="s">
        <v>616</v>
      </c>
      <c r="C304" s="19"/>
      <c r="D304" s="19"/>
      <c r="E304" s="20">
        <f>-(Tabla2[[#This Row],[STOCK ACTUAL]]-Tabla2[[#This Row],[CONSUMO MENSUAL]]*1.15)</f>
        <v>0</v>
      </c>
      <c r="F304" s="12"/>
      <c r="G304" s="11"/>
    </row>
    <row r="305" spans="1:7" ht="15" customHeight="1" x14ac:dyDescent="0.25">
      <c r="A305" s="8" t="s">
        <v>34</v>
      </c>
      <c r="B305" s="14" t="s">
        <v>617</v>
      </c>
      <c r="C305" s="19"/>
      <c r="D305" s="19"/>
      <c r="E305" s="20">
        <f>-(Tabla2[[#This Row],[STOCK ACTUAL]]-Tabla2[[#This Row],[CONSUMO MENSUAL]]*1.15)</f>
        <v>0</v>
      </c>
      <c r="F305" s="12"/>
      <c r="G305" s="11"/>
    </row>
    <row r="306" spans="1:7" ht="15" customHeight="1" x14ac:dyDescent="0.25">
      <c r="A306" s="8" t="s">
        <v>45</v>
      </c>
      <c r="B306" s="8" t="s">
        <v>618</v>
      </c>
      <c r="C306" s="19"/>
      <c r="D306" s="19"/>
      <c r="E306" s="20">
        <f>-(Tabla2[[#This Row],[STOCK ACTUAL]]-Tabla2[[#This Row],[CONSUMO MENSUAL]]*1.15)</f>
        <v>0</v>
      </c>
      <c r="F306" s="12"/>
      <c r="G306" s="11"/>
    </row>
    <row r="307" spans="1:7" ht="15" customHeight="1" x14ac:dyDescent="0.25">
      <c r="A307" s="8" t="s">
        <v>456</v>
      </c>
      <c r="B307" s="8" t="s">
        <v>619</v>
      </c>
      <c r="C307" s="19"/>
      <c r="D307" s="19"/>
      <c r="E307" s="20">
        <f>-(Tabla2[[#This Row],[STOCK ACTUAL]]-Tabla2[[#This Row],[CONSUMO MENSUAL]]*1.15)</f>
        <v>0</v>
      </c>
      <c r="F307" s="12"/>
      <c r="G307" s="11"/>
    </row>
    <row r="308" spans="1:7" ht="15" customHeight="1" x14ac:dyDescent="0.25">
      <c r="A308" s="8" t="s">
        <v>334</v>
      </c>
      <c r="B308" s="14" t="s">
        <v>620</v>
      </c>
      <c r="C308" s="19"/>
      <c r="D308" s="19"/>
      <c r="E308" s="20">
        <f>-(Tabla2[[#This Row],[STOCK ACTUAL]]-Tabla2[[#This Row],[CONSUMO MENSUAL]]*1.15)</f>
        <v>0</v>
      </c>
      <c r="F308" s="12"/>
      <c r="G308" s="11"/>
    </row>
    <row r="309" spans="1:7" ht="15" customHeight="1" x14ac:dyDescent="0.25">
      <c r="A309" s="8" t="s">
        <v>315</v>
      </c>
      <c r="B309" s="8" t="s">
        <v>621</v>
      </c>
      <c r="C309" s="19"/>
      <c r="D309" s="19"/>
      <c r="E309" s="20">
        <f>-(Tabla2[[#This Row],[STOCK ACTUAL]]-Tabla2[[#This Row],[CONSUMO MENSUAL]]*1.15)</f>
        <v>0</v>
      </c>
      <c r="F309" s="12"/>
      <c r="G309" s="11"/>
    </row>
    <row r="310" spans="1:7" ht="15" customHeight="1" x14ac:dyDescent="0.25">
      <c r="A310" s="8" t="s">
        <v>45</v>
      </c>
      <c r="B310" s="8" t="s">
        <v>622</v>
      </c>
      <c r="C310" s="19"/>
      <c r="D310" s="19"/>
      <c r="E310" s="20">
        <f>-(Tabla2[[#This Row],[STOCK ACTUAL]]-Tabla2[[#This Row],[CONSUMO MENSUAL]]*1.15)</f>
        <v>0</v>
      </c>
      <c r="F310" s="12"/>
      <c r="G310" s="11"/>
    </row>
    <row r="311" spans="1:7" ht="15" customHeight="1" x14ac:dyDescent="0.25">
      <c r="A311" s="8" t="s">
        <v>45</v>
      </c>
      <c r="B311" s="8" t="s">
        <v>623</v>
      </c>
      <c r="C311" s="19"/>
      <c r="D311" s="19"/>
      <c r="E311" s="20">
        <f>-(Tabla2[[#This Row],[STOCK ACTUAL]]-Tabla2[[#This Row],[CONSUMO MENSUAL]]*1.15)</f>
        <v>0</v>
      </c>
      <c r="F311" s="12"/>
      <c r="G311" s="11"/>
    </row>
    <row r="312" spans="1:7" ht="15" customHeight="1" x14ac:dyDescent="0.25">
      <c r="A312" s="8" t="s">
        <v>45</v>
      </c>
      <c r="B312" s="8" t="s">
        <v>624</v>
      </c>
      <c r="C312" s="19"/>
      <c r="D312" s="19"/>
      <c r="E312" s="20">
        <f>-(Tabla2[[#This Row],[STOCK ACTUAL]]-Tabla2[[#This Row],[CONSUMO MENSUAL]]*1.15)</f>
        <v>0</v>
      </c>
      <c r="F312" s="12"/>
      <c r="G312" s="11"/>
    </row>
    <row r="313" spans="1:7" ht="15" customHeight="1" x14ac:dyDescent="0.25">
      <c r="A313" s="8" t="s">
        <v>45</v>
      </c>
      <c r="B313" s="8" t="s">
        <v>625</v>
      </c>
      <c r="C313" s="19"/>
      <c r="D313" s="19"/>
      <c r="E313" s="20">
        <f>-(Tabla2[[#This Row],[STOCK ACTUAL]]-Tabla2[[#This Row],[CONSUMO MENSUAL]]*1.15)</f>
        <v>0</v>
      </c>
      <c r="F313" s="12"/>
      <c r="G313" s="11"/>
    </row>
    <row r="314" spans="1:7" ht="15" customHeight="1" x14ac:dyDescent="0.25">
      <c r="A314" s="8" t="s">
        <v>45</v>
      </c>
      <c r="B314" s="8" t="s">
        <v>626</v>
      </c>
      <c r="C314" s="19"/>
      <c r="D314" s="19"/>
      <c r="E314" s="20">
        <f>-(Tabla2[[#This Row],[STOCK ACTUAL]]-Tabla2[[#This Row],[CONSUMO MENSUAL]]*1.15)</f>
        <v>0</v>
      </c>
      <c r="F314" s="12"/>
      <c r="G314" s="11"/>
    </row>
    <row r="315" spans="1:7" ht="15" customHeight="1" x14ac:dyDescent="0.25">
      <c r="A315" s="8" t="s">
        <v>45</v>
      </c>
      <c r="B315" s="8" t="s">
        <v>627</v>
      </c>
      <c r="C315" s="19"/>
      <c r="D315" s="19"/>
      <c r="E315" s="20">
        <f>-(Tabla2[[#This Row],[STOCK ACTUAL]]-Tabla2[[#This Row],[CONSUMO MENSUAL]]*1.15)</f>
        <v>0</v>
      </c>
      <c r="F315" s="12"/>
      <c r="G315" s="11"/>
    </row>
    <row r="316" spans="1:7" ht="15" customHeight="1" x14ac:dyDescent="0.25">
      <c r="A316" s="8" t="s">
        <v>45</v>
      </c>
      <c r="B316" s="8" t="s">
        <v>628</v>
      </c>
      <c r="C316" s="19"/>
      <c r="D316" s="19"/>
      <c r="E316" s="20">
        <f>-(Tabla2[[#This Row],[STOCK ACTUAL]]-Tabla2[[#This Row],[CONSUMO MENSUAL]]*1.15)</f>
        <v>0</v>
      </c>
      <c r="F316" s="12"/>
      <c r="G316" s="11"/>
    </row>
    <row r="317" spans="1:7" ht="15" customHeight="1" x14ac:dyDescent="0.25">
      <c r="A317" s="8" t="s">
        <v>45</v>
      </c>
      <c r="B317" s="8" t="s">
        <v>629</v>
      </c>
      <c r="C317" s="19"/>
      <c r="D317" s="19"/>
      <c r="E317" s="20">
        <f>-(Tabla2[[#This Row],[STOCK ACTUAL]]-Tabla2[[#This Row],[CONSUMO MENSUAL]]*1.15)</f>
        <v>0</v>
      </c>
      <c r="F317" s="12"/>
      <c r="G317" s="11"/>
    </row>
    <row r="318" spans="1:7" ht="15" customHeight="1" x14ac:dyDescent="0.25">
      <c r="A318" s="8" t="s">
        <v>45</v>
      </c>
      <c r="B318" s="8" t="s">
        <v>630</v>
      </c>
      <c r="C318" s="19"/>
      <c r="D318" s="19"/>
      <c r="E318" s="20">
        <f>-(Tabla2[[#This Row],[STOCK ACTUAL]]-Tabla2[[#This Row],[CONSUMO MENSUAL]]*1.15)</f>
        <v>0</v>
      </c>
      <c r="F318" s="12"/>
      <c r="G318" s="11"/>
    </row>
    <row r="319" spans="1:7" ht="15" customHeight="1" x14ac:dyDescent="0.25">
      <c r="A319" s="8" t="s">
        <v>45</v>
      </c>
      <c r="B319" s="8" t="s">
        <v>631</v>
      </c>
      <c r="C319" s="19"/>
      <c r="D319" s="19"/>
      <c r="E319" s="20">
        <f>-(Tabla2[[#This Row],[STOCK ACTUAL]]-Tabla2[[#This Row],[CONSUMO MENSUAL]]*1.15)</f>
        <v>0</v>
      </c>
      <c r="F319" s="12"/>
      <c r="G319" s="11"/>
    </row>
    <row r="320" spans="1:7" ht="15" customHeight="1" x14ac:dyDescent="0.25">
      <c r="A320" s="8" t="s">
        <v>45</v>
      </c>
      <c r="B320" s="8" t="s">
        <v>632</v>
      </c>
      <c r="C320" s="19"/>
      <c r="D320" s="19"/>
      <c r="E320" s="20">
        <f>-(Tabla2[[#This Row],[STOCK ACTUAL]]-Tabla2[[#This Row],[CONSUMO MENSUAL]]*1.15)</f>
        <v>0</v>
      </c>
      <c r="F320" s="12"/>
      <c r="G320" s="11"/>
    </row>
    <row r="321" spans="1:7" ht="15" customHeight="1" x14ac:dyDescent="0.25">
      <c r="A321" s="8" t="s">
        <v>45</v>
      </c>
      <c r="B321" s="8" t="s">
        <v>633</v>
      </c>
      <c r="C321" s="19"/>
      <c r="D321" s="19"/>
      <c r="E321" s="20">
        <f>-(Tabla2[[#This Row],[STOCK ACTUAL]]-Tabla2[[#This Row],[CONSUMO MENSUAL]]*1.15)</f>
        <v>0</v>
      </c>
      <c r="F321" s="12"/>
      <c r="G321" s="11"/>
    </row>
    <row r="322" spans="1:7" ht="15" customHeight="1" x14ac:dyDescent="0.25">
      <c r="A322" s="8" t="s">
        <v>45</v>
      </c>
      <c r="B322" s="8" t="s">
        <v>634</v>
      </c>
      <c r="C322" s="19"/>
      <c r="D322" s="19"/>
      <c r="E322" s="20">
        <f>-(Tabla2[[#This Row],[STOCK ACTUAL]]-Tabla2[[#This Row],[CONSUMO MENSUAL]]*1.15)</f>
        <v>0</v>
      </c>
      <c r="F322" s="12"/>
      <c r="G322" s="11"/>
    </row>
    <row r="323" spans="1:7" ht="15" customHeight="1" x14ac:dyDescent="0.25">
      <c r="A323" s="8" t="s">
        <v>45</v>
      </c>
      <c r="B323" s="8" t="s">
        <v>635</v>
      </c>
      <c r="C323" s="19"/>
      <c r="D323" s="19"/>
      <c r="E323" s="20">
        <f>-(Tabla2[[#This Row],[STOCK ACTUAL]]-Tabla2[[#This Row],[CONSUMO MENSUAL]]*1.15)</f>
        <v>0</v>
      </c>
      <c r="F323" s="12"/>
      <c r="G323" s="11"/>
    </row>
    <row r="324" spans="1:7" ht="15" customHeight="1" x14ac:dyDescent="0.25">
      <c r="A324" s="8" t="s">
        <v>45</v>
      </c>
      <c r="B324" s="8" t="s">
        <v>636</v>
      </c>
      <c r="C324" s="19"/>
      <c r="D324" s="19"/>
      <c r="E324" s="20">
        <f>-(Tabla2[[#This Row],[STOCK ACTUAL]]-Tabla2[[#This Row],[CONSUMO MENSUAL]]*1.15)</f>
        <v>0</v>
      </c>
      <c r="F324" s="12"/>
      <c r="G324" s="11"/>
    </row>
    <row r="325" spans="1:7" ht="15" customHeight="1" x14ac:dyDescent="0.25">
      <c r="A325" s="8" t="s">
        <v>456</v>
      </c>
      <c r="B325" s="8" t="s">
        <v>637</v>
      </c>
      <c r="C325" s="19"/>
      <c r="D325" s="19"/>
      <c r="E325" s="20">
        <f>-(Tabla2[[#This Row],[STOCK ACTUAL]]-Tabla2[[#This Row],[CONSUMO MENSUAL]]*1.15)</f>
        <v>0</v>
      </c>
      <c r="F325" s="12"/>
      <c r="G325" s="11"/>
    </row>
    <row r="326" spans="1:7" ht="15" customHeight="1" x14ac:dyDescent="0.25">
      <c r="A326" s="8" t="s">
        <v>45</v>
      </c>
      <c r="B326" s="13" t="s">
        <v>638</v>
      </c>
      <c r="C326" s="19"/>
      <c r="D326" s="19"/>
      <c r="E326" s="20">
        <f>-(Tabla2[[#This Row],[STOCK ACTUAL]]-Tabla2[[#This Row],[CONSUMO MENSUAL]]*1.15)</f>
        <v>0</v>
      </c>
      <c r="F326" s="12"/>
      <c r="G326" s="11"/>
    </row>
    <row r="327" spans="1:7" ht="15" customHeight="1" x14ac:dyDescent="0.25">
      <c r="A327" s="8" t="s">
        <v>45</v>
      </c>
      <c r="B327" s="8" t="s">
        <v>639</v>
      </c>
      <c r="C327" s="19"/>
      <c r="D327" s="19"/>
      <c r="E327" s="20">
        <f>-(Tabla2[[#This Row],[STOCK ACTUAL]]-Tabla2[[#This Row],[CONSUMO MENSUAL]]*1.15)</f>
        <v>0</v>
      </c>
      <c r="F327" s="12"/>
      <c r="G327" s="11"/>
    </row>
    <row r="328" spans="1:7" ht="15" customHeight="1" x14ac:dyDescent="0.25">
      <c r="A328" s="8" t="s">
        <v>45</v>
      </c>
      <c r="B328" s="8" t="s">
        <v>640</v>
      </c>
      <c r="C328" s="19"/>
      <c r="D328" s="19"/>
      <c r="E328" s="20">
        <f>-(Tabla2[[#This Row],[STOCK ACTUAL]]-Tabla2[[#This Row],[CONSUMO MENSUAL]]*1.15)</f>
        <v>0</v>
      </c>
      <c r="F328" s="12"/>
      <c r="G328" s="11"/>
    </row>
    <row r="329" spans="1:7" ht="15" customHeight="1" x14ac:dyDescent="0.25">
      <c r="A329" s="8" t="s">
        <v>45</v>
      </c>
      <c r="B329" s="8" t="s">
        <v>641</v>
      </c>
      <c r="C329" s="19"/>
      <c r="D329" s="19"/>
      <c r="E329" s="20">
        <f>-(Tabla2[[#This Row],[STOCK ACTUAL]]-Tabla2[[#This Row],[CONSUMO MENSUAL]]*1.15)</f>
        <v>0</v>
      </c>
      <c r="F329" s="12"/>
      <c r="G329" s="11"/>
    </row>
    <row r="330" spans="1:7" ht="15" customHeight="1" x14ac:dyDescent="0.25">
      <c r="A330" s="8" t="s">
        <v>334</v>
      </c>
      <c r="B330" s="13" t="s">
        <v>642</v>
      </c>
      <c r="C330" s="19"/>
      <c r="D330" s="19"/>
      <c r="E330" s="20">
        <f>-(Tabla2[[#This Row],[STOCK ACTUAL]]-Tabla2[[#This Row],[CONSUMO MENSUAL]]*1.15)</f>
        <v>0</v>
      </c>
      <c r="F330" s="12"/>
      <c r="G330" s="11"/>
    </row>
    <row r="331" spans="1:7" ht="15" customHeight="1" x14ac:dyDescent="0.25">
      <c r="A331" s="8" t="s">
        <v>334</v>
      </c>
      <c r="B331" s="13" t="s">
        <v>643</v>
      </c>
      <c r="C331" s="19"/>
      <c r="D331" s="19"/>
      <c r="E331" s="20">
        <f>-(Tabla2[[#This Row],[STOCK ACTUAL]]-Tabla2[[#This Row],[CONSUMO MENSUAL]]*1.15)</f>
        <v>0</v>
      </c>
      <c r="F331" s="12"/>
      <c r="G331" s="11"/>
    </row>
    <row r="332" spans="1:7" ht="15" customHeight="1" x14ac:dyDescent="0.25">
      <c r="A332" s="8" t="s">
        <v>334</v>
      </c>
      <c r="B332" s="13" t="s">
        <v>644</v>
      </c>
      <c r="C332" s="19"/>
      <c r="D332" s="19"/>
      <c r="E332" s="20">
        <f>-(Tabla2[[#This Row],[STOCK ACTUAL]]-Tabla2[[#This Row],[CONSUMO MENSUAL]]*1.15)</f>
        <v>0</v>
      </c>
      <c r="F332" s="12"/>
      <c r="G332" s="11"/>
    </row>
    <row r="333" spans="1:7" ht="15" customHeight="1" x14ac:dyDescent="0.25">
      <c r="A333" s="8" t="s">
        <v>334</v>
      </c>
      <c r="B333" s="13" t="s">
        <v>645</v>
      </c>
      <c r="C333" s="19"/>
      <c r="D333" s="19"/>
      <c r="E333" s="20">
        <f>-(Tabla2[[#This Row],[STOCK ACTUAL]]-Tabla2[[#This Row],[CONSUMO MENSUAL]]*1.15)</f>
        <v>0</v>
      </c>
      <c r="F333" s="12"/>
      <c r="G333" s="11"/>
    </row>
    <row r="334" spans="1:7" ht="15" customHeight="1" x14ac:dyDescent="0.25">
      <c r="A334" s="8" t="s">
        <v>334</v>
      </c>
      <c r="B334" s="8" t="s">
        <v>646</v>
      </c>
      <c r="C334" s="19"/>
      <c r="D334" s="19"/>
      <c r="E334" s="20">
        <f>-(Tabla2[[#This Row],[STOCK ACTUAL]]-Tabla2[[#This Row],[CONSUMO MENSUAL]]*1.15)</f>
        <v>0</v>
      </c>
      <c r="F334" s="12"/>
      <c r="G334" s="11"/>
    </row>
    <row r="335" spans="1:7" ht="15" customHeight="1" x14ac:dyDescent="0.25">
      <c r="A335" s="8" t="s">
        <v>334</v>
      </c>
      <c r="B335" s="8" t="s">
        <v>647</v>
      </c>
      <c r="C335" s="19"/>
      <c r="D335" s="19"/>
      <c r="E335" s="20">
        <f>-(Tabla2[[#This Row],[STOCK ACTUAL]]-Tabla2[[#This Row],[CONSUMO MENSUAL]]*1.15)</f>
        <v>0</v>
      </c>
      <c r="F335" s="12"/>
      <c r="G335" s="11"/>
    </row>
    <row r="336" spans="1:7" ht="15" customHeight="1" x14ac:dyDescent="0.25">
      <c r="A336" s="8" t="s">
        <v>45</v>
      </c>
      <c r="B336" s="8" t="s">
        <v>648</v>
      </c>
      <c r="C336" s="19"/>
      <c r="D336" s="19"/>
      <c r="E336" s="20">
        <f>-(Tabla2[[#This Row],[STOCK ACTUAL]]-Tabla2[[#This Row],[CONSUMO MENSUAL]]*1.15)</f>
        <v>0</v>
      </c>
      <c r="F336" s="12"/>
      <c r="G336" s="11"/>
    </row>
    <row r="337" spans="1:7" ht="15" customHeight="1" x14ac:dyDescent="0.25">
      <c r="A337" s="8" t="s">
        <v>334</v>
      </c>
      <c r="B337" s="8" t="s">
        <v>649</v>
      </c>
      <c r="C337" s="19"/>
      <c r="D337" s="19"/>
      <c r="E337" s="20">
        <f>-(Tabla2[[#This Row],[STOCK ACTUAL]]-Tabla2[[#This Row],[CONSUMO MENSUAL]]*1.15)</f>
        <v>0</v>
      </c>
      <c r="F337" s="12"/>
      <c r="G337" s="11"/>
    </row>
    <row r="338" spans="1:7" ht="15" customHeight="1" x14ac:dyDescent="0.25">
      <c r="A338" s="8" t="s">
        <v>45</v>
      </c>
      <c r="B338" s="8" t="s">
        <v>650</v>
      </c>
      <c r="C338" s="19"/>
      <c r="D338" s="19"/>
      <c r="E338" s="20">
        <f>-(Tabla2[[#This Row],[STOCK ACTUAL]]-Tabla2[[#This Row],[CONSUMO MENSUAL]]*1.15)</f>
        <v>0</v>
      </c>
      <c r="F338" s="12"/>
      <c r="G338" s="11"/>
    </row>
    <row r="339" spans="1:7" ht="15" customHeight="1" x14ac:dyDescent="0.25">
      <c r="A339" s="8" t="s">
        <v>45</v>
      </c>
      <c r="B339" s="8" t="s">
        <v>651</v>
      </c>
      <c r="C339" s="19"/>
      <c r="D339" s="19"/>
      <c r="E339" s="20">
        <f>-(Tabla2[[#This Row],[STOCK ACTUAL]]-Tabla2[[#This Row],[CONSUMO MENSUAL]]*1.15)</f>
        <v>0</v>
      </c>
      <c r="F339" s="12"/>
      <c r="G339" s="11"/>
    </row>
    <row r="340" spans="1:7" ht="15" customHeight="1" x14ac:dyDescent="0.25">
      <c r="A340" s="8" t="s">
        <v>45</v>
      </c>
      <c r="B340" s="8" t="s">
        <v>652</v>
      </c>
      <c r="C340" s="19"/>
      <c r="D340" s="19"/>
      <c r="E340" s="20">
        <f>-(Tabla2[[#This Row],[STOCK ACTUAL]]-Tabla2[[#This Row],[CONSUMO MENSUAL]]*1.15)</f>
        <v>0</v>
      </c>
      <c r="F340" s="12"/>
      <c r="G340" s="11"/>
    </row>
    <row r="341" spans="1:7" ht="15" customHeight="1" x14ac:dyDescent="0.25">
      <c r="A341" s="8" t="s">
        <v>45</v>
      </c>
      <c r="B341" s="8" t="s">
        <v>653</v>
      </c>
      <c r="C341" s="19"/>
      <c r="D341" s="19"/>
      <c r="E341" s="20">
        <f>-(Tabla2[[#This Row],[STOCK ACTUAL]]-Tabla2[[#This Row],[CONSUMO MENSUAL]]*1.15)</f>
        <v>0</v>
      </c>
      <c r="F341" s="12"/>
      <c r="G341" s="11"/>
    </row>
    <row r="342" spans="1:7" ht="15" customHeight="1" x14ac:dyDescent="0.25">
      <c r="A342" s="17"/>
      <c r="B342" s="18"/>
      <c r="C342" s="19"/>
      <c r="D342" s="19"/>
      <c r="E342" s="20">
        <f>-(Tabla2[[#This Row],[STOCK ACTUAL]]-Tabla2[[#This Row],[CONSUMO MENSUAL]]*1.15)</f>
        <v>0</v>
      </c>
      <c r="F342" s="12"/>
      <c r="G342" s="11"/>
    </row>
    <row r="343" spans="1:7" ht="15" customHeight="1" x14ac:dyDescent="0.25">
      <c r="A343" s="17"/>
      <c r="B343" s="18"/>
      <c r="C343" s="19"/>
      <c r="D343" s="19"/>
      <c r="E343" s="20">
        <f>-(Tabla2[[#This Row],[STOCK ACTUAL]]-Tabla2[[#This Row],[CONSUMO MENSUAL]]*1.15)</f>
        <v>0</v>
      </c>
      <c r="F343" s="12"/>
      <c r="G343" s="11"/>
    </row>
    <row r="344" spans="1:7" ht="15" customHeight="1" x14ac:dyDescent="0.25">
      <c r="A344" s="17"/>
      <c r="B344" s="18"/>
      <c r="C344" s="19"/>
      <c r="D344" s="19"/>
      <c r="E344" s="20">
        <f>-(Tabla2[[#This Row],[STOCK ACTUAL]]-Tabla2[[#This Row],[CONSUMO MENSUAL]]*1.15)</f>
        <v>0</v>
      </c>
      <c r="F344" s="12"/>
      <c r="G344" s="11"/>
    </row>
    <row r="345" spans="1:7" ht="15" customHeight="1" x14ac:dyDescent="0.25">
      <c r="A345" s="17"/>
      <c r="B345" s="18"/>
      <c r="C345" s="19"/>
      <c r="D345" s="19"/>
      <c r="E345" s="20">
        <f>-(Tabla2[[#This Row],[STOCK ACTUAL]]-Tabla2[[#This Row],[CONSUMO MENSUAL]]*1.15)</f>
        <v>0</v>
      </c>
      <c r="F345" s="12"/>
      <c r="G345" s="11"/>
    </row>
    <row r="346" spans="1:7" ht="15" customHeight="1" x14ac:dyDescent="0.25">
      <c r="A346" s="17"/>
      <c r="B346" s="18"/>
      <c r="C346" s="19"/>
      <c r="D346" s="19"/>
      <c r="E346" s="20">
        <f>-(Tabla2[[#This Row],[STOCK ACTUAL]]-Tabla2[[#This Row],[CONSUMO MENSUAL]]*1.15)</f>
        <v>0</v>
      </c>
      <c r="F346" s="12"/>
      <c r="G346" s="11"/>
    </row>
  </sheetData>
  <sheetProtection algorithmName="SHA-512" hashValue="ZLj+ytRqImWUyI22a3iT6PVpiNComuXeXuYfmiRMGs9CvDl3n4r0jfLkrvMwQJtAKMCxTSz8FoLgRmApjGIAJw==" saltValue="OELd/Yz14LJdFI5+x3hLTg==" spinCount="100000" sheet="1" autoFilter="0"/>
  <protectedRanges>
    <protectedRange sqref="F2:G3" name="Rango1_2"/>
    <protectedRange sqref="C6:D346 F6:F346" name="Rango2_1"/>
  </protectedRanges>
  <mergeCells count="4">
    <mergeCell ref="A1:A4"/>
    <mergeCell ref="B2:D3"/>
    <mergeCell ref="F2:G2"/>
    <mergeCell ref="F3:G3"/>
  </mergeCells>
  <conditionalFormatting sqref="E6:E346">
    <cfRule type="cellIs" dxfId="3" priority="1" operator="lessThan">
      <formula>0</formula>
    </cfRule>
  </conditionalFormatting>
  <dataValidations count="3">
    <dataValidation type="date" operator="greaterThanOrEqual" allowBlank="1" showInputMessage="1" showErrorMessage="1" error="Fecha mal _x000a_ingresada_x000a_(00-00-2024)" sqref="F3:G3" xr:uid="{00000000-0002-0000-0100-000000000000}">
      <formula1>45352</formula1>
    </dataValidation>
    <dataValidation type="list" allowBlank="1" showInputMessage="1" showErrorMessage="1" error="¡¡¡¡¡¡¡¡  HERRORRR   SOLO_x000a_ DATOS DE LA LISTA !!!!!!" prompt="¡¡.....  INGRESE _x000a_DATOS_x000a_DE LA LISTA ...!!" sqref="F2:G2" xr:uid="{00000000-0002-0000-0100-000001000000}">
      <formula1>$J$1:$J$11</formula1>
    </dataValidation>
    <dataValidation type="whole" allowBlank="1" showInputMessage="1" showErrorMessage="1" error="¡¡¡¡¡¡....Ingresar_x000a_solo_x000a_ numeros...!!!!!!!" sqref="F6:G346 C6:D346" xr:uid="{00000000-0002-0000-0100-000002000000}">
      <formula1>0</formula1>
      <formula2>500000</formula2>
    </dataValidation>
  </dataValidations>
  <pageMargins left="0.31496062992125984" right="0" top="0.35433070866141736" bottom="0.35433070866141736" header="0.31496062992125984" footer="0.31496062992125984"/>
  <pageSetup scale="80" orientation="landscape" r:id="rId1"/>
  <colBreaks count="1" manualBreakCount="1">
    <brk id="7" max="1048575" man="1"/>
  </colBreaks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11"/>
  <sheetViews>
    <sheetView zoomScale="80" zoomScaleNormal="80" workbookViewId="0">
      <pane ySplit="5" topLeftCell="A6" activePane="bottomLeft" state="frozen"/>
      <selection pane="bottomLeft" activeCell="C45" sqref="C45"/>
    </sheetView>
  </sheetViews>
  <sheetFormatPr baseColWidth="10" defaultColWidth="11.42578125" defaultRowHeight="15" customHeight="1" x14ac:dyDescent="0.25"/>
  <cols>
    <col min="1" max="1" width="14.7109375" style="2" customWidth="1"/>
    <col min="2" max="2" width="54" style="10" customWidth="1"/>
    <col min="3" max="3" width="17.28515625" style="2" customWidth="1"/>
    <col min="4" max="4" width="14.7109375" style="2" customWidth="1"/>
    <col min="5" max="5" width="18.7109375" style="2" customWidth="1"/>
    <col min="6" max="6" width="17" style="2" customWidth="1"/>
    <col min="7" max="7" width="22.140625" style="2" customWidth="1"/>
    <col min="8" max="9" width="11.42578125" style="2"/>
    <col min="10" max="10" width="0" style="2" hidden="1" customWidth="1"/>
    <col min="11" max="16384" width="11.42578125" style="2"/>
  </cols>
  <sheetData>
    <row r="1" spans="1:10" ht="15" customHeight="1" x14ac:dyDescent="0.25">
      <c r="A1" s="30"/>
      <c r="B1" s="1"/>
      <c r="J1" s="2" t="s">
        <v>0</v>
      </c>
    </row>
    <row r="2" spans="1:10" ht="15" customHeight="1" x14ac:dyDescent="0.25">
      <c r="A2" s="30"/>
      <c r="B2" s="31" t="s">
        <v>1</v>
      </c>
      <c r="C2" s="31"/>
      <c r="D2" s="31"/>
      <c r="E2" s="3" t="s">
        <v>2</v>
      </c>
      <c r="F2" s="32" t="s">
        <v>5</v>
      </c>
      <c r="G2" s="32"/>
      <c r="J2" s="2" t="s">
        <v>3</v>
      </c>
    </row>
    <row r="3" spans="1:10" ht="15" customHeight="1" x14ac:dyDescent="0.25">
      <c r="A3" s="30"/>
      <c r="B3" s="31"/>
      <c r="C3" s="31"/>
      <c r="D3" s="31"/>
      <c r="E3" s="3" t="s">
        <v>4</v>
      </c>
      <c r="F3" s="33"/>
      <c r="G3" s="33"/>
      <c r="J3" s="2" t="s">
        <v>5</v>
      </c>
    </row>
    <row r="4" spans="1:10" ht="15" customHeight="1" x14ac:dyDescent="0.25">
      <c r="A4" s="30"/>
      <c r="B4" s="1"/>
      <c r="J4" s="2" t="s">
        <v>6</v>
      </c>
    </row>
    <row r="5" spans="1:10" ht="15" customHeight="1" x14ac:dyDescent="0.25">
      <c r="A5" s="4" t="s">
        <v>7</v>
      </c>
      <c r="B5" s="5" t="s">
        <v>8</v>
      </c>
      <c r="C5" s="6" t="s">
        <v>9</v>
      </c>
      <c r="D5" s="6" t="s">
        <v>10</v>
      </c>
      <c r="E5" s="6" t="s">
        <v>11</v>
      </c>
      <c r="F5" s="6" t="s">
        <v>12</v>
      </c>
      <c r="G5" s="7" t="s">
        <v>13</v>
      </c>
      <c r="J5" s="2" t="s">
        <v>14</v>
      </c>
    </row>
    <row r="6" spans="1:10" ht="15" customHeight="1" x14ac:dyDescent="0.25">
      <c r="A6" s="8" t="s">
        <v>654</v>
      </c>
      <c r="B6" s="8" t="s">
        <v>655</v>
      </c>
      <c r="C6" s="26"/>
      <c r="D6" s="26"/>
      <c r="E6" s="20">
        <f>-(Tabla26[[#This Row],[STOCK ACTUAL]]-Tabla26[[#This Row],[CONSUMO MENSUAL]]*1.15)</f>
        <v>0</v>
      </c>
      <c r="F6" s="28"/>
      <c r="G6" s="11"/>
      <c r="J6" s="2" t="s">
        <v>311</v>
      </c>
    </row>
    <row r="7" spans="1:10" ht="15" customHeight="1" x14ac:dyDescent="0.25">
      <c r="A7" s="8" t="s">
        <v>654</v>
      </c>
      <c r="B7" s="8" t="s">
        <v>656</v>
      </c>
      <c r="C7" s="26"/>
      <c r="D7" s="26"/>
      <c r="E7" s="20">
        <f>-(Tabla26[[#This Row],[STOCK ACTUAL]]-Tabla26[[#This Row],[CONSUMO MENSUAL]]*1.15)</f>
        <v>0</v>
      </c>
      <c r="F7" s="28"/>
      <c r="G7" s="11"/>
      <c r="J7" s="2" t="s">
        <v>17</v>
      </c>
    </row>
    <row r="8" spans="1:10" ht="15" customHeight="1" x14ac:dyDescent="0.25">
      <c r="A8" s="8" t="s">
        <v>654</v>
      </c>
      <c r="B8" s="8" t="s">
        <v>657</v>
      </c>
      <c r="C8" s="26"/>
      <c r="D8" s="26"/>
      <c r="E8" s="20">
        <f>-(Tabla26[[#This Row],[STOCK ACTUAL]]-Tabla26[[#This Row],[CONSUMO MENSUAL]]*1.15)</f>
        <v>0</v>
      </c>
      <c r="F8" s="28"/>
      <c r="G8" s="11"/>
      <c r="J8" s="2" t="s">
        <v>20</v>
      </c>
    </row>
    <row r="9" spans="1:10" ht="15" customHeight="1" x14ac:dyDescent="0.25">
      <c r="A9" s="8" t="s">
        <v>654</v>
      </c>
      <c r="B9" s="8" t="s">
        <v>658</v>
      </c>
      <c r="C9" s="26"/>
      <c r="D9" s="26"/>
      <c r="E9" s="20">
        <f>-(Tabla26[[#This Row],[STOCK ACTUAL]]-Tabla26[[#This Row],[CONSUMO MENSUAL]]*1.15)</f>
        <v>0</v>
      </c>
      <c r="F9" s="28"/>
      <c r="G9" s="11"/>
      <c r="J9" s="2" t="s">
        <v>22</v>
      </c>
    </row>
    <row r="10" spans="1:10" ht="15" customHeight="1" x14ac:dyDescent="0.25">
      <c r="A10" s="8" t="s">
        <v>654</v>
      </c>
      <c r="B10" s="8" t="s">
        <v>659</v>
      </c>
      <c r="C10" s="26"/>
      <c r="D10" s="26"/>
      <c r="E10" s="20">
        <f>-(Tabla26[[#This Row],[STOCK ACTUAL]]-Tabla26[[#This Row],[CONSUMO MENSUAL]]*1.15)</f>
        <v>0</v>
      </c>
      <c r="F10" s="28"/>
      <c r="G10" s="11"/>
      <c r="J10" s="2" t="s">
        <v>24</v>
      </c>
    </row>
    <row r="11" spans="1:10" ht="15" customHeight="1" x14ac:dyDescent="0.25">
      <c r="A11" s="8" t="s">
        <v>654</v>
      </c>
      <c r="B11" s="8" t="s">
        <v>660</v>
      </c>
      <c r="C11" s="26"/>
      <c r="D11" s="26"/>
      <c r="E11" s="20">
        <f>-(Tabla26[[#This Row],[STOCK ACTUAL]]-Tabla26[[#This Row],[CONSUMO MENSUAL]]*1.15)</f>
        <v>0</v>
      </c>
      <c r="F11" s="28"/>
      <c r="G11" s="11"/>
      <c r="J11" s="2" t="s">
        <v>27</v>
      </c>
    </row>
    <row r="12" spans="1:10" ht="15" customHeight="1" x14ac:dyDescent="0.25">
      <c r="A12" s="8" t="s">
        <v>654</v>
      </c>
      <c r="B12" s="8" t="s">
        <v>661</v>
      </c>
      <c r="C12" s="26"/>
      <c r="D12" s="26"/>
      <c r="E12" s="20">
        <f>-(Tabla26[[#This Row],[STOCK ACTUAL]]-Tabla26[[#This Row],[CONSUMO MENSUAL]]*1.15)</f>
        <v>0</v>
      </c>
      <c r="F12" s="28"/>
      <c r="G12" s="11"/>
    </row>
    <row r="13" spans="1:10" ht="15" customHeight="1" x14ac:dyDescent="0.25">
      <c r="A13" s="8" t="s">
        <v>654</v>
      </c>
      <c r="B13" s="8" t="s">
        <v>662</v>
      </c>
      <c r="C13" s="26"/>
      <c r="D13" s="26"/>
      <c r="E13" s="20">
        <f>-(Tabla26[[#This Row],[STOCK ACTUAL]]-Tabla26[[#This Row],[CONSUMO MENSUAL]]*1.15)</f>
        <v>0</v>
      </c>
      <c r="F13" s="28"/>
      <c r="G13" s="11"/>
    </row>
    <row r="14" spans="1:10" ht="15" customHeight="1" x14ac:dyDescent="0.25">
      <c r="A14" s="8" t="s">
        <v>654</v>
      </c>
      <c r="B14" s="8" t="s">
        <v>663</v>
      </c>
      <c r="C14" s="26"/>
      <c r="D14" s="26"/>
      <c r="E14" s="20">
        <f>-(Tabla26[[#This Row],[STOCK ACTUAL]]-Tabla26[[#This Row],[CONSUMO MENSUAL]]*1.15)</f>
        <v>0</v>
      </c>
      <c r="F14" s="28"/>
      <c r="G14" s="11"/>
    </row>
    <row r="15" spans="1:10" ht="15" customHeight="1" x14ac:dyDescent="0.25">
      <c r="A15" s="8" t="s">
        <v>654</v>
      </c>
      <c r="B15" s="8" t="s">
        <v>664</v>
      </c>
      <c r="C15" s="26"/>
      <c r="D15" s="26"/>
      <c r="E15" s="20">
        <f>-(Tabla26[[#This Row],[STOCK ACTUAL]]-Tabla26[[#This Row],[CONSUMO MENSUAL]]*1.15)</f>
        <v>0</v>
      </c>
      <c r="F15" s="28"/>
      <c r="G15" s="11"/>
    </row>
    <row r="16" spans="1:10" ht="15" customHeight="1" x14ac:dyDescent="0.25">
      <c r="A16" s="8" t="s">
        <v>654</v>
      </c>
      <c r="B16" s="8" t="s">
        <v>665</v>
      </c>
      <c r="C16" s="26"/>
      <c r="D16" s="26"/>
      <c r="E16" s="20">
        <f>-(Tabla26[[#This Row],[STOCK ACTUAL]]-Tabla26[[#This Row],[CONSUMO MENSUAL]]*1.15)</f>
        <v>0</v>
      </c>
      <c r="F16" s="28"/>
      <c r="G16" s="11"/>
    </row>
    <row r="17" spans="1:7" ht="15" customHeight="1" x14ac:dyDescent="0.25">
      <c r="A17" s="8" t="s">
        <v>654</v>
      </c>
      <c r="B17" s="8" t="s">
        <v>666</v>
      </c>
      <c r="C17" s="26"/>
      <c r="D17" s="26"/>
      <c r="E17" s="20">
        <f>-(Tabla26[[#This Row],[STOCK ACTUAL]]-Tabla26[[#This Row],[CONSUMO MENSUAL]]*1.15)</f>
        <v>0</v>
      </c>
      <c r="F17" s="28"/>
      <c r="G17" s="11"/>
    </row>
    <row r="18" spans="1:7" ht="15" customHeight="1" x14ac:dyDescent="0.25">
      <c r="A18" s="8" t="s">
        <v>654</v>
      </c>
      <c r="B18" s="8" t="s">
        <v>667</v>
      </c>
      <c r="C18" s="26"/>
      <c r="D18" s="26"/>
      <c r="E18" s="20">
        <f>-(Tabla26[[#This Row],[STOCK ACTUAL]]-Tabla26[[#This Row],[CONSUMO MENSUAL]]*1.15)</f>
        <v>0</v>
      </c>
      <c r="F18" s="28"/>
      <c r="G18" s="11"/>
    </row>
    <row r="19" spans="1:7" ht="15" customHeight="1" x14ac:dyDescent="0.25">
      <c r="A19" s="8" t="s">
        <v>654</v>
      </c>
      <c r="B19" s="8" t="s">
        <v>668</v>
      </c>
      <c r="C19" s="26"/>
      <c r="D19" s="26"/>
      <c r="E19" s="20">
        <f>-(Tabla26[[#This Row],[STOCK ACTUAL]]-Tabla26[[#This Row],[CONSUMO MENSUAL]]*1.15)</f>
        <v>0</v>
      </c>
      <c r="F19" s="28"/>
      <c r="G19" s="11"/>
    </row>
    <row r="20" spans="1:7" ht="15" customHeight="1" x14ac:dyDescent="0.25">
      <c r="A20" s="8" t="s">
        <v>654</v>
      </c>
      <c r="B20" s="8" t="s">
        <v>669</v>
      </c>
      <c r="C20" s="26"/>
      <c r="D20" s="26"/>
      <c r="E20" s="20">
        <f>-(Tabla26[[#This Row],[STOCK ACTUAL]]-Tabla26[[#This Row],[CONSUMO MENSUAL]]*1.15)</f>
        <v>0</v>
      </c>
      <c r="F20" s="29"/>
      <c r="G20" s="11"/>
    </row>
    <row r="21" spans="1:7" ht="15" customHeight="1" x14ac:dyDescent="0.25">
      <c r="A21" s="8" t="s">
        <v>654</v>
      </c>
      <c r="B21" s="8" t="s">
        <v>670</v>
      </c>
      <c r="C21" s="26"/>
      <c r="D21" s="26"/>
      <c r="E21" s="20">
        <f>-(Tabla26[[#This Row],[STOCK ACTUAL]]-Tabla26[[#This Row],[CONSUMO MENSUAL]]*1.15)</f>
        <v>0</v>
      </c>
      <c r="F21" s="28"/>
      <c r="G21" s="11"/>
    </row>
    <row r="22" spans="1:7" ht="15" customHeight="1" x14ac:dyDescent="0.25">
      <c r="A22" s="8" t="s">
        <v>654</v>
      </c>
      <c r="B22" s="8" t="s">
        <v>671</v>
      </c>
      <c r="C22" s="26"/>
      <c r="D22" s="26"/>
      <c r="E22" s="20">
        <f>-(Tabla26[[#This Row],[STOCK ACTUAL]]-Tabla26[[#This Row],[CONSUMO MENSUAL]]*1.15)</f>
        <v>0</v>
      </c>
      <c r="F22" s="29"/>
      <c r="G22" s="11"/>
    </row>
    <row r="23" spans="1:7" ht="15" customHeight="1" x14ac:dyDescent="0.25">
      <c r="A23" s="8" t="s">
        <v>654</v>
      </c>
      <c r="B23" s="8" t="s">
        <v>672</v>
      </c>
      <c r="C23" s="26"/>
      <c r="D23" s="26"/>
      <c r="E23" s="20">
        <f>-(Tabla26[[#This Row],[STOCK ACTUAL]]-Tabla26[[#This Row],[CONSUMO MENSUAL]]*1.15)</f>
        <v>0</v>
      </c>
      <c r="F23" s="29"/>
      <c r="G23" s="11"/>
    </row>
    <row r="24" spans="1:7" ht="15" customHeight="1" x14ac:dyDescent="0.25">
      <c r="A24" s="8" t="s">
        <v>654</v>
      </c>
      <c r="B24" s="8" t="s">
        <v>673</v>
      </c>
      <c r="C24" s="26"/>
      <c r="D24" s="26"/>
      <c r="E24" s="20">
        <f>-(Tabla26[[#This Row],[STOCK ACTUAL]]-Tabla26[[#This Row],[CONSUMO MENSUAL]]*1.15)</f>
        <v>0</v>
      </c>
      <c r="F24" s="29"/>
      <c r="G24" s="11"/>
    </row>
    <row r="25" spans="1:7" ht="15" customHeight="1" x14ac:dyDescent="0.25">
      <c r="A25" s="8" t="s">
        <v>654</v>
      </c>
      <c r="B25" s="8" t="s">
        <v>674</v>
      </c>
      <c r="C25" s="26"/>
      <c r="D25" s="26"/>
      <c r="E25" s="20">
        <f>-(Tabla26[[#This Row],[STOCK ACTUAL]]-Tabla26[[#This Row],[CONSUMO MENSUAL]]*1.15)</f>
        <v>0</v>
      </c>
      <c r="F25" s="29"/>
      <c r="G25" s="11"/>
    </row>
    <row r="26" spans="1:7" ht="15" customHeight="1" x14ac:dyDescent="0.25">
      <c r="A26" s="8" t="s">
        <v>654</v>
      </c>
      <c r="B26" s="8" t="s">
        <v>675</v>
      </c>
      <c r="C26" s="26"/>
      <c r="D26" s="26"/>
      <c r="E26" s="20">
        <f>-(Tabla26[[#This Row],[STOCK ACTUAL]]-Tabla26[[#This Row],[CONSUMO MENSUAL]]*1.15)</f>
        <v>0</v>
      </c>
      <c r="F26" s="29"/>
      <c r="G26" s="11"/>
    </row>
    <row r="27" spans="1:7" ht="15" customHeight="1" x14ac:dyDescent="0.25">
      <c r="A27" s="8" t="s">
        <v>654</v>
      </c>
      <c r="B27" s="8" t="s">
        <v>676</v>
      </c>
      <c r="C27" s="26"/>
      <c r="D27" s="26"/>
      <c r="E27" s="20">
        <f>-(Tabla26[[#This Row],[STOCK ACTUAL]]-Tabla26[[#This Row],[CONSUMO MENSUAL]]*1.15)</f>
        <v>0</v>
      </c>
      <c r="F27" s="29"/>
      <c r="G27" s="11"/>
    </row>
    <row r="28" spans="1:7" ht="15" customHeight="1" x14ac:dyDescent="0.25">
      <c r="A28" s="8" t="s">
        <v>654</v>
      </c>
      <c r="B28" s="8" t="s">
        <v>677</v>
      </c>
      <c r="C28" s="26"/>
      <c r="D28" s="26"/>
      <c r="E28" s="20">
        <f>-(Tabla26[[#This Row],[STOCK ACTUAL]]-Tabla26[[#This Row],[CONSUMO MENSUAL]]*1.15)</f>
        <v>0</v>
      </c>
      <c r="F28" s="29"/>
      <c r="G28" s="11"/>
    </row>
    <row r="29" spans="1:7" ht="15" customHeight="1" x14ac:dyDescent="0.25">
      <c r="A29" s="8" t="s">
        <v>654</v>
      </c>
      <c r="B29" s="8" t="s">
        <v>678</v>
      </c>
      <c r="C29" s="26"/>
      <c r="D29" s="26"/>
      <c r="E29" s="20">
        <f>-(Tabla26[[#This Row],[STOCK ACTUAL]]-Tabla26[[#This Row],[CONSUMO MENSUAL]]*1.15)</f>
        <v>0</v>
      </c>
      <c r="F29" s="29"/>
      <c r="G29" s="11"/>
    </row>
    <row r="30" spans="1:7" ht="15" customHeight="1" x14ac:dyDescent="0.25">
      <c r="A30" s="8" t="s">
        <v>654</v>
      </c>
      <c r="B30" s="8" t="s">
        <v>679</v>
      </c>
      <c r="C30" s="26"/>
      <c r="D30" s="26"/>
      <c r="E30" s="20">
        <f>-(Tabla26[[#This Row],[STOCK ACTUAL]]-Tabla26[[#This Row],[CONSUMO MENSUAL]]*1.15)</f>
        <v>0</v>
      </c>
      <c r="F30" s="28"/>
      <c r="G30" s="11"/>
    </row>
    <row r="31" spans="1:7" ht="15" customHeight="1" x14ac:dyDescent="0.25">
      <c r="A31" s="8" t="s">
        <v>654</v>
      </c>
      <c r="B31" s="8" t="s">
        <v>680</v>
      </c>
      <c r="C31" s="26"/>
      <c r="D31" s="26"/>
      <c r="E31" s="20">
        <f>-(Tabla26[[#This Row],[STOCK ACTUAL]]-Tabla26[[#This Row],[CONSUMO MENSUAL]]*1.15)</f>
        <v>0</v>
      </c>
      <c r="F31" s="28"/>
      <c r="G31" s="11"/>
    </row>
    <row r="32" spans="1:7" ht="15" customHeight="1" x14ac:dyDescent="0.25">
      <c r="A32" s="8" t="s">
        <v>654</v>
      </c>
      <c r="B32" s="8" t="s">
        <v>681</v>
      </c>
      <c r="C32" s="26"/>
      <c r="D32" s="26"/>
      <c r="E32" s="20">
        <f>-(Tabla26[[#This Row],[STOCK ACTUAL]]-Tabla26[[#This Row],[CONSUMO MENSUAL]]*1.15)</f>
        <v>0</v>
      </c>
      <c r="F32" s="28"/>
      <c r="G32" s="11"/>
    </row>
    <row r="33" spans="1:7" ht="15" customHeight="1" x14ac:dyDescent="0.25">
      <c r="A33" s="8" t="s">
        <v>654</v>
      </c>
      <c r="B33" s="8" t="s">
        <v>682</v>
      </c>
      <c r="C33" s="26"/>
      <c r="D33" s="26"/>
      <c r="E33" s="20">
        <f>-(Tabla26[[#This Row],[STOCK ACTUAL]]-Tabla26[[#This Row],[CONSUMO MENSUAL]]*1.15)</f>
        <v>0</v>
      </c>
      <c r="F33" s="28"/>
      <c r="G33" s="11"/>
    </row>
    <row r="34" spans="1:7" ht="15" customHeight="1" x14ac:dyDescent="0.25">
      <c r="A34" s="8" t="s">
        <v>654</v>
      </c>
      <c r="B34" s="8" t="s">
        <v>683</v>
      </c>
      <c r="C34" s="26"/>
      <c r="D34" s="26"/>
      <c r="E34" s="20">
        <f>-(Tabla26[[#This Row],[STOCK ACTUAL]]-Tabla26[[#This Row],[CONSUMO MENSUAL]]*1.15)</f>
        <v>0</v>
      </c>
      <c r="F34" s="28"/>
      <c r="G34" s="11"/>
    </row>
    <row r="35" spans="1:7" ht="15" customHeight="1" x14ac:dyDescent="0.25">
      <c r="A35" s="8" t="s">
        <v>654</v>
      </c>
      <c r="B35" s="8" t="s">
        <v>684</v>
      </c>
      <c r="C35" s="26"/>
      <c r="D35" s="26"/>
      <c r="E35" s="20">
        <f>-(Tabla26[[#This Row],[STOCK ACTUAL]]-Tabla26[[#This Row],[CONSUMO MENSUAL]]*1.15)</f>
        <v>0</v>
      </c>
      <c r="F35" s="28"/>
      <c r="G35" s="11"/>
    </row>
    <row r="36" spans="1:7" ht="15" customHeight="1" x14ac:dyDescent="0.25">
      <c r="A36" s="8" t="s">
        <v>654</v>
      </c>
      <c r="B36" s="8" t="s">
        <v>685</v>
      </c>
      <c r="C36" s="26"/>
      <c r="D36" s="26"/>
      <c r="E36" s="20">
        <f>-(Tabla26[[#This Row],[STOCK ACTUAL]]-Tabla26[[#This Row],[CONSUMO MENSUAL]]*1.15)</f>
        <v>0</v>
      </c>
      <c r="F36" s="29"/>
      <c r="G36" s="11"/>
    </row>
    <row r="37" spans="1:7" ht="15" customHeight="1" x14ac:dyDescent="0.25">
      <c r="A37" s="8" t="s">
        <v>654</v>
      </c>
      <c r="B37" s="8" t="s">
        <v>686</v>
      </c>
      <c r="C37" s="26"/>
      <c r="D37" s="26"/>
      <c r="E37" s="20">
        <f>-(Tabla26[[#This Row],[STOCK ACTUAL]]-Tabla26[[#This Row],[CONSUMO MENSUAL]]*1.15)</f>
        <v>0</v>
      </c>
      <c r="F37" s="29"/>
      <c r="G37" s="11"/>
    </row>
    <row r="38" spans="1:7" ht="15" customHeight="1" x14ac:dyDescent="0.25">
      <c r="A38" s="8" t="s">
        <v>654</v>
      </c>
      <c r="B38" s="8" t="s">
        <v>687</v>
      </c>
      <c r="C38" s="26"/>
      <c r="D38" s="26"/>
      <c r="E38" s="20">
        <f>-(Tabla26[[#This Row],[STOCK ACTUAL]]-Tabla26[[#This Row],[CONSUMO MENSUAL]]*1.15)</f>
        <v>0</v>
      </c>
      <c r="F38" s="29"/>
      <c r="G38" s="11"/>
    </row>
    <row r="39" spans="1:7" ht="15" customHeight="1" x14ac:dyDescent="0.25">
      <c r="A39" s="8" t="s">
        <v>654</v>
      </c>
      <c r="B39" s="8" t="s">
        <v>688</v>
      </c>
      <c r="C39" s="26"/>
      <c r="D39" s="26"/>
      <c r="E39" s="20">
        <f>-(Tabla26[[#This Row],[STOCK ACTUAL]]-Tabla26[[#This Row],[CONSUMO MENSUAL]]*1.15)</f>
        <v>0</v>
      </c>
      <c r="F39" s="28"/>
      <c r="G39" s="11"/>
    </row>
    <row r="40" spans="1:7" ht="15" customHeight="1" x14ac:dyDescent="0.25">
      <c r="A40" s="8" t="s">
        <v>654</v>
      </c>
      <c r="B40" s="8" t="s">
        <v>689</v>
      </c>
      <c r="C40" s="26"/>
      <c r="D40" s="26"/>
      <c r="E40" s="20">
        <f>-(Tabla26[[#This Row],[STOCK ACTUAL]]-Tabla26[[#This Row],[CONSUMO MENSUAL]]*1.15)</f>
        <v>0</v>
      </c>
      <c r="F40" s="28"/>
      <c r="G40" s="11"/>
    </row>
    <row r="41" spans="1:7" ht="15" customHeight="1" x14ac:dyDescent="0.25">
      <c r="A41" s="8" t="s">
        <v>654</v>
      </c>
      <c r="B41" s="8" t="s">
        <v>690</v>
      </c>
      <c r="C41" s="26"/>
      <c r="D41" s="26"/>
      <c r="E41" s="20">
        <f>-(Tabla26[[#This Row],[STOCK ACTUAL]]-Tabla26[[#This Row],[CONSUMO MENSUAL]]*1.15)</f>
        <v>0</v>
      </c>
      <c r="F41" s="28"/>
      <c r="G41" s="11"/>
    </row>
    <row r="42" spans="1:7" ht="15" customHeight="1" x14ac:dyDescent="0.25">
      <c r="A42" s="8" t="s">
        <v>654</v>
      </c>
      <c r="B42" s="8" t="s">
        <v>691</v>
      </c>
      <c r="C42" s="26"/>
      <c r="D42" s="26"/>
      <c r="E42" s="20">
        <f>-(Tabla26[[#This Row],[STOCK ACTUAL]]-Tabla26[[#This Row],[CONSUMO MENSUAL]]*1.15)</f>
        <v>0</v>
      </c>
      <c r="F42" s="28"/>
      <c r="G42" s="11"/>
    </row>
    <row r="43" spans="1:7" ht="15" customHeight="1" x14ac:dyDescent="0.25">
      <c r="A43" s="8" t="s">
        <v>654</v>
      </c>
      <c r="B43" s="8" t="s">
        <v>692</v>
      </c>
      <c r="C43" s="26"/>
      <c r="D43" s="26"/>
      <c r="E43" s="20">
        <f>-(Tabla26[[#This Row],[STOCK ACTUAL]]-Tabla26[[#This Row],[CONSUMO MENSUAL]]*1.15)</f>
        <v>0</v>
      </c>
      <c r="F43" s="28"/>
      <c r="G43" s="11"/>
    </row>
    <row r="44" spans="1:7" ht="15" customHeight="1" x14ac:dyDescent="0.25">
      <c r="A44" s="8" t="s">
        <v>654</v>
      </c>
      <c r="B44" s="8" t="s">
        <v>693</v>
      </c>
      <c r="C44" s="26"/>
      <c r="D44" s="26"/>
      <c r="E44" s="20">
        <f>-(Tabla26[[#This Row],[STOCK ACTUAL]]-Tabla26[[#This Row],[CONSUMO MENSUAL]]*1.15)</f>
        <v>0</v>
      </c>
      <c r="F44" s="29"/>
      <c r="G44" s="11"/>
    </row>
    <row r="45" spans="1:7" ht="15" customHeight="1" x14ac:dyDescent="0.25">
      <c r="A45" s="8" t="s">
        <v>654</v>
      </c>
      <c r="B45" s="8" t="s">
        <v>694</v>
      </c>
      <c r="C45" s="26"/>
      <c r="D45" s="26"/>
      <c r="E45" s="20">
        <f>-(Tabla26[[#This Row],[STOCK ACTUAL]]-Tabla26[[#This Row],[CONSUMO MENSUAL]]*1.15)</f>
        <v>0</v>
      </c>
      <c r="F45" s="29"/>
      <c r="G45" s="11"/>
    </row>
    <row r="46" spans="1:7" ht="15" customHeight="1" x14ac:dyDescent="0.25">
      <c r="A46" s="8" t="s">
        <v>654</v>
      </c>
      <c r="B46" s="8" t="s">
        <v>695</v>
      </c>
      <c r="C46" s="26"/>
      <c r="D46" s="26"/>
      <c r="E46" s="20">
        <f>-(Tabla26[[#This Row],[STOCK ACTUAL]]-Tabla26[[#This Row],[CONSUMO MENSUAL]]*1.15)</f>
        <v>0</v>
      </c>
      <c r="F46" s="28"/>
      <c r="G46" s="11"/>
    </row>
    <row r="47" spans="1:7" ht="15" customHeight="1" x14ac:dyDescent="0.25">
      <c r="A47" s="8" t="s">
        <v>654</v>
      </c>
      <c r="B47" s="8" t="s">
        <v>696</v>
      </c>
      <c r="C47" s="26"/>
      <c r="D47" s="26"/>
      <c r="E47" s="20">
        <f>-(Tabla26[[#This Row],[STOCK ACTUAL]]-Tabla26[[#This Row],[CONSUMO MENSUAL]]*1.15)</f>
        <v>0</v>
      </c>
      <c r="F47" s="28"/>
      <c r="G47" s="11"/>
    </row>
    <row r="48" spans="1:7" ht="15" customHeight="1" x14ac:dyDescent="0.25">
      <c r="A48" s="8" t="s">
        <v>654</v>
      </c>
      <c r="B48" s="8" t="s">
        <v>697</v>
      </c>
      <c r="C48" s="26"/>
      <c r="D48" s="26"/>
      <c r="E48" s="20">
        <f>-(Tabla26[[#This Row],[STOCK ACTUAL]]-Tabla26[[#This Row],[CONSUMO MENSUAL]]*1.15)</f>
        <v>0</v>
      </c>
      <c r="F48" s="29"/>
      <c r="G48" s="11"/>
    </row>
    <row r="49" spans="1:7" ht="15" customHeight="1" x14ac:dyDescent="0.25">
      <c r="A49" s="8" t="s">
        <v>654</v>
      </c>
      <c r="B49" s="8" t="s">
        <v>698</v>
      </c>
      <c r="C49" s="26"/>
      <c r="D49" s="26"/>
      <c r="E49" s="20">
        <f>-(Tabla26[[#This Row],[STOCK ACTUAL]]-Tabla26[[#This Row],[CONSUMO MENSUAL]]*1.15)</f>
        <v>0</v>
      </c>
      <c r="F49" s="29"/>
      <c r="G49" s="11"/>
    </row>
    <row r="50" spans="1:7" ht="15" customHeight="1" x14ac:dyDescent="0.25">
      <c r="A50" s="8" t="s">
        <v>654</v>
      </c>
      <c r="B50" s="8" t="s">
        <v>699</v>
      </c>
      <c r="C50" s="26"/>
      <c r="D50" s="26"/>
      <c r="E50" s="20">
        <f>-(Tabla26[[#This Row],[STOCK ACTUAL]]-Tabla26[[#This Row],[CONSUMO MENSUAL]]*1.15)</f>
        <v>0</v>
      </c>
      <c r="F50" s="29"/>
      <c r="G50" s="11"/>
    </row>
    <row r="51" spans="1:7" ht="15" customHeight="1" x14ac:dyDescent="0.25">
      <c r="A51" s="8" t="s">
        <v>654</v>
      </c>
      <c r="B51" s="8" t="s">
        <v>700</v>
      </c>
      <c r="C51" s="26"/>
      <c r="D51" s="26"/>
      <c r="E51" s="20">
        <f>-(Tabla26[[#This Row],[STOCK ACTUAL]]-Tabla26[[#This Row],[CONSUMO MENSUAL]]*1.15)</f>
        <v>0</v>
      </c>
      <c r="F51" s="29"/>
      <c r="G51" s="11"/>
    </row>
    <row r="52" spans="1:7" ht="15" customHeight="1" x14ac:dyDescent="0.25">
      <c r="A52" s="8" t="s">
        <v>654</v>
      </c>
      <c r="B52" s="8" t="s">
        <v>701</v>
      </c>
      <c r="C52" s="26"/>
      <c r="D52" s="26"/>
      <c r="E52" s="20">
        <f>-(Tabla26[[#This Row],[STOCK ACTUAL]]-Tabla26[[#This Row],[CONSUMO MENSUAL]]*1.15)</f>
        <v>0</v>
      </c>
      <c r="F52" s="28"/>
      <c r="G52" s="11"/>
    </row>
    <row r="53" spans="1:7" ht="15" customHeight="1" x14ac:dyDescent="0.25">
      <c r="A53" s="8" t="s">
        <v>654</v>
      </c>
      <c r="B53" s="8" t="s">
        <v>702</v>
      </c>
      <c r="C53" s="26"/>
      <c r="D53" s="26"/>
      <c r="E53" s="20">
        <f>-(Tabla26[[#This Row],[STOCK ACTUAL]]-Tabla26[[#This Row],[CONSUMO MENSUAL]]*1.15)</f>
        <v>0</v>
      </c>
      <c r="F53" s="28"/>
      <c r="G53" s="11"/>
    </row>
    <row r="54" spans="1:7" ht="15" customHeight="1" x14ac:dyDescent="0.25">
      <c r="A54" s="8" t="s">
        <v>334</v>
      </c>
      <c r="B54" s="8" t="s">
        <v>426</v>
      </c>
      <c r="C54" s="26"/>
      <c r="D54" s="26"/>
      <c r="E54" s="20">
        <f>-(Tabla26[[#This Row],[STOCK ACTUAL]]-Tabla26[[#This Row],[CONSUMO MENSUAL]]*1.15)</f>
        <v>0</v>
      </c>
      <c r="F54" s="29"/>
      <c r="G54" s="11"/>
    </row>
    <row r="55" spans="1:7" ht="15" customHeight="1" x14ac:dyDescent="0.25">
      <c r="A55" s="8" t="s">
        <v>654</v>
      </c>
      <c r="B55" s="8" t="s">
        <v>703</v>
      </c>
      <c r="C55" s="26"/>
      <c r="D55" s="26"/>
      <c r="E55" s="20">
        <f>-(Tabla26[[#This Row],[STOCK ACTUAL]]-Tabla26[[#This Row],[CONSUMO MENSUAL]]*1.15)</f>
        <v>0</v>
      </c>
      <c r="F55" s="29"/>
      <c r="G55" s="11"/>
    </row>
    <row r="56" spans="1:7" ht="15" customHeight="1" x14ac:dyDescent="0.25">
      <c r="A56" s="8" t="s">
        <v>654</v>
      </c>
      <c r="B56" s="8" t="s">
        <v>704</v>
      </c>
      <c r="C56" s="26"/>
      <c r="D56" s="26"/>
      <c r="E56" s="20">
        <f>-(Tabla26[[#This Row],[STOCK ACTUAL]]-Tabla26[[#This Row],[CONSUMO MENSUAL]]*1.15)</f>
        <v>0</v>
      </c>
      <c r="F56" s="28"/>
      <c r="G56" s="11"/>
    </row>
    <row r="57" spans="1:7" ht="15" customHeight="1" x14ac:dyDescent="0.25">
      <c r="A57" s="8" t="s">
        <v>654</v>
      </c>
      <c r="B57" s="8" t="s">
        <v>705</v>
      </c>
      <c r="C57" s="26"/>
      <c r="D57" s="26"/>
      <c r="E57" s="20">
        <f>-(Tabla26[[#This Row],[STOCK ACTUAL]]-Tabla26[[#This Row],[CONSUMO MENSUAL]]*1.15)</f>
        <v>0</v>
      </c>
      <c r="F57" s="29"/>
      <c r="G57" s="11"/>
    </row>
    <row r="58" spans="1:7" ht="15" customHeight="1" x14ac:dyDescent="0.25">
      <c r="A58" s="8" t="s">
        <v>654</v>
      </c>
      <c r="B58" s="8" t="s">
        <v>706</v>
      </c>
      <c r="C58" s="26"/>
      <c r="D58" s="26"/>
      <c r="E58" s="20">
        <f>-(Tabla26[[#This Row],[STOCK ACTUAL]]-Tabla26[[#This Row],[CONSUMO MENSUAL]]*1.15)</f>
        <v>0</v>
      </c>
      <c r="F58" s="28"/>
      <c r="G58" s="11"/>
    </row>
    <row r="59" spans="1:7" ht="15" customHeight="1" x14ac:dyDescent="0.25">
      <c r="A59" s="8" t="s">
        <v>654</v>
      </c>
      <c r="B59" s="8" t="s">
        <v>707</v>
      </c>
      <c r="C59" s="26"/>
      <c r="D59" s="26"/>
      <c r="E59" s="20">
        <f>-(Tabla26[[#This Row],[STOCK ACTUAL]]-Tabla26[[#This Row],[CONSUMO MENSUAL]]*1.15)</f>
        <v>0</v>
      </c>
      <c r="F59" s="28"/>
      <c r="G59" s="11"/>
    </row>
    <row r="60" spans="1:7" ht="15" customHeight="1" x14ac:dyDescent="0.25">
      <c r="A60" s="8" t="s">
        <v>654</v>
      </c>
      <c r="B60" s="8" t="s">
        <v>708</v>
      </c>
      <c r="C60" s="26"/>
      <c r="D60" s="26"/>
      <c r="E60" s="20">
        <f>-(Tabla26[[#This Row],[STOCK ACTUAL]]-Tabla26[[#This Row],[CONSUMO MENSUAL]]*1.15)</f>
        <v>0</v>
      </c>
      <c r="F60" s="29"/>
      <c r="G60" s="11"/>
    </row>
    <row r="61" spans="1:7" ht="15" customHeight="1" x14ac:dyDescent="0.25">
      <c r="A61" s="8" t="s">
        <v>654</v>
      </c>
      <c r="B61" s="8" t="s">
        <v>709</v>
      </c>
      <c r="C61" s="26"/>
      <c r="D61" s="26"/>
      <c r="E61" s="20">
        <f>-(Tabla26[[#This Row],[STOCK ACTUAL]]-Tabla26[[#This Row],[CONSUMO MENSUAL]]*1.15)</f>
        <v>0</v>
      </c>
      <c r="F61" s="28"/>
      <c r="G61" s="11"/>
    </row>
    <row r="62" spans="1:7" ht="15" customHeight="1" x14ac:dyDescent="0.25">
      <c r="A62" s="8" t="s">
        <v>654</v>
      </c>
      <c r="B62" s="8" t="s">
        <v>710</v>
      </c>
      <c r="C62" s="26"/>
      <c r="D62" s="26"/>
      <c r="E62" s="20">
        <f>-(Tabla26[[#This Row],[STOCK ACTUAL]]-Tabla26[[#This Row],[CONSUMO MENSUAL]]*1.15)</f>
        <v>0</v>
      </c>
      <c r="F62" s="28"/>
      <c r="G62" s="11"/>
    </row>
    <row r="63" spans="1:7" ht="15" customHeight="1" x14ac:dyDescent="0.25">
      <c r="A63" s="8" t="s">
        <v>654</v>
      </c>
      <c r="B63" s="8" t="s">
        <v>711</v>
      </c>
      <c r="C63" s="26"/>
      <c r="D63" s="26"/>
      <c r="E63" s="20">
        <f>-(Tabla26[[#This Row],[STOCK ACTUAL]]-Tabla26[[#This Row],[CONSUMO MENSUAL]]*1.15)</f>
        <v>0</v>
      </c>
      <c r="F63" s="28"/>
      <c r="G63" s="11"/>
    </row>
    <row r="64" spans="1:7" ht="15" customHeight="1" x14ac:dyDescent="0.25">
      <c r="A64" s="8" t="s">
        <v>654</v>
      </c>
      <c r="B64" s="8" t="s">
        <v>712</v>
      </c>
      <c r="C64" s="26"/>
      <c r="D64" s="26"/>
      <c r="E64" s="20">
        <f>-(Tabla26[[#This Row],[STOCK ACTUAL]]-Tabla26[[#This Row],[CONSUMO MENSUAL]]*1.15)</f>
        <v>0</v>
      </c>
      <c r="F64" s="28"/>
      <c r="G64" s="11"/>
    </row>
    <row r="65" spans="1:7" ht="15" customHeight="1" x14ac:dyDescent="0.25">
      <c r="A65" s="8" t="s">
        <v>45</v>
      </c>
      <c r="B65" s="8" t="s">
        <v>713</v>
      </c>
      <c r="C65" s="26"/>
      <c r="D65" s="26"/>
      <c r="E65" s="20">
        <f>-(Tabla26[[#This Row],[STOCK ACTUAL]]-Tabla26[[#This Row],[CONSUMO MENSUAL]]*1.15)</f>
        <v>0</v>
      </c>
      <c r="F65" s="29"/>
      <c r="G65" s="11"/>
    </row>
    <row r="66" spans="1:7" ht="15" customHeight="1" x14ac:dyDescent="0.25">
      <c r="A66" s="8" t="s">
        <v>654</v>
      </c>
      <c r="B66" s="8" t="s">
        <v>714</v>
      </c>
      <c r="C66" s="26"/>
      <c r="D66" s="26"/>
      <c r="E66" s="20">
        <f>-(Tabla26[[#This Row],[STOCK ACTUAL]]-Tabla26[[#This Row],[CONSUMO MENSUAL]]*1.15)</f>
        <v>0</v>
      </c>
      <c r="F66" s="29"/>
      <c r="G66" s="11"/>
    </row>
    <row r="67" spans="1:7" ht="15" customHeight="1" x14ac:dyDescent="0.25">
      <c r="A67" s="8" t="s">
        <v>654</v>
      </c>
      <c r="B67" s="8" t="s">
        <v>715</v>
      </c>
      <c r="C67" s="26"/>
      <c r="D67" s="26"/>
      <c r="E67" s="20">
        <f>-(Tabla26[[#This Row],[STOCK ACTUAL]]-Tabla26[[#This Row],[CONSUMO MENSUAL]]*1.15)</f>
        <v>0</v>
      </c>
      <c r="F67" s="29"/>
      <c r="G67" s="11"/>
    </row>
    <row r="68" spans="1:7" ht="15" customHeight="1" x14ac:dyDescent="0.25">
      <c r="A68" s="8" t="s">
        <v>654</v>
      </c>
      <c r="B68" s="8" t="s">
        <v>716</v>
      </c>
      <c r="C68" s="26"/>
      <c r="D68" s="26"/>
      <c r="E68" s="20">
        <f>-(Tabla26[[#This Row],[STOCK ACTUAL]]-Tabla26[[#This Row],[CONSUMO MENSUAL]]*1.15)</f>
        <v>0</v>
      </c>
      <c r="F68" s="29"/>
      <c r="G68" s="11"/>
    </row>
    <row r="69" spans="1:7" ht="15" customHeight="1" x14ac:dyDescent="0.25">
      <c r="A69" s="8" t="s">
        <v>654</v>
      </c>
      <c r="B69" s="8" t="s">
        <v>717</v>
      </c>
      <c r="C69" s="26"/>
      <c r="D69" s="26"/>
      <c r="E69" s="20">
        <f>-(Tabla26[[#This Row],[STOCK ACTUAL]]-Tabla26[[#This Row],[CONSUMO MENSUAL]]*1.15)</f>
        <v>0</v>
      </c>
      <c r="F69" s="29"/>
      <c r="G69" s="11"/>
    </row>
    <row r="70" spans="1:7" ht="15" customHeight="1" x14ac:dyDescent="0.25">
      <c r="A70" s="8" t="s">
        <v>654</v>
      </c>
      <c r="B70" s="8" t="s">
        <v>718</v>
      </c>
      <c r="C70" s="26"/>
      <c r="D70" s="26"/>
      <c r="E70" s="20">
        <f>-(Tabla26[[#This Row],[STOCK ACTUAL]]-Tabla26[[#This Row],[CONSUMO MENSUAL]]*1.15)</f>
        <v>0</v>
      </c>
      <c r="F70" s="28"/>
      <c r="G70" s="11"/>
    </row>
    <row r="71" spans="1:7" ht="15" customHeight="1" x14ac:dyDescent="0.25">
      <c r="A71" s="8" t="s">
        <v>654</v>
      </c>
      <c r="B71" s="8" t="s">
        <v>719</v>
      </c>
      <c r="C71" s="26"/>
      <c r="D71" s="26"/>
      <c r="E71" s="20">
        <f>-(Tabla26[[#This Row],[STOCK ACTUAL]]-Tabla26[[#This Row],[CONSUMO MENSUAL]]*1.15)</f>
        <v>0</v>
      </c>
      <c r="F71" s="28"/>
      <c r="G71" s="11"/>
    </row>
    <row r="72" spans="1:7" ht="15" customHeight="1" x14ac:dyDescent="0.25">
      <c r="A72" s="8" t="s">
        <v>654</v>
      </c>
      <c r="B72" s="8" t="s">
        <v>720</v>
      </c>
      <c r="C72" s="26"/>
      <c r="D72" s="26"/>
      <c r="E72" s="20">
        <f>-(Tabla26[[#This Row],[STOCK ACTUAL]]-Tabla26[[#This Row],[CONSUMO MENSUAL]]*1.15)</f>
        <v>0</v>
      </c>
      <c r="F72" s="28"/>
      <c r="G72" s="11"/>
    </row>
    <row r="73" spans="1:7" ht="15" customHeight="1" x14ac:dyDescent="0.25">
      <c r="A73" s="8" t="s">
        <v>654</v>
      </c>
      <c r="B73" s="8" t="s">
        <v>721</v>
      </c>
      <c r="C73" s="26"/>
      <c r="D73" s="26"/>
      <c r="E73" s="20">
        <f>-(Tabla26[[#This Row],[STOCK ACTUAL]]-Tabla26[[#This Row],[CONSUMO MENSUAL]]*1.15)</f>
        <v>0</v>
      </c>
      <c r="F73" s="29"/>
      <c r="G73" s="11"/>
    </row>
    <row r="74" spans="1:7" ht="15" customHeight="1" x14ac:dyDescent="0.25">
      <c r="A74" s="8" t="s">
        <v>654</v>
      </c>
      <c r="B74" s="8" t="s">
        <v>722</v>
      </c>
      <c r="C74" s="26"/>
      <c r="D74" s="26"/>
      <c r="E74" s="20">
        <f>-(Tabla26[[#This Row],[STOCK ACTUAL]]-Tabla26[[#This Row],[CONSUMO MENSUAL]]*1.15)</f>
        <v>0</v>
      </c>
      <c r="F74" s="29"/>
      <c r="G74" s="11"/>
    </row>
    <row r="75" spans="1:7" ht="15" customHeight="1" x14ac:dyDescent="0.25">
      <c r="A75" s="8" t="s">
        <v>654</v>
      </c>
      <c r="B75" s="8" t="s">
        <v>723</v>
      </c>
      <c r="C75" s="26"/>
      <c r="D75" s="26"/>
      <c r="E75" s="20">
        <f>-(Tabla26[[#This Row],[STOCK ACTUAL]]-Tabla26[[#This Row],[CONSUMO MENSUAL]]*1.15)</f>
        <v>0</v>
      </c>
      <c r="F75" s="29"/>
      <c r="G75" s="11"/>
    </row>
    <row r="76" spans="1:7" ht="15" customHeight="1" x14ac:dyDescent="0.25">
      <c r="A76" s="8" t="s">
        <v>654</v>
      </c>
      <c r="B76" s="8" t="s">
        <v>724</v>
      </c>
      <c r="C76" s="26"/>
      <c r="D76" s="26"/>
      <c r="E76" s="20">
        <f>-(Tabla26[[#This Row],[STOCK ACTUAL]]-Tabla26[[#This Row],[CONSUMO MENSUAL]]*1.15)</f>
        <v>0</v>
      </c>
      <c r="F76" s="29"/>
      <c r="G76" s="11"/>
    </row>
    <row r="77" spans="1:7" ht="15" customHeight="1" x14ac:dyDescent="0.25">
      <c r="A77" s="8" t="s">
        <v>654</v>
      </c>
      <c r="B77" s="8" t="s">
        <v>725</v>
      </c>
      <c r="C77" s="26"/>
      <c r="D77" s="26"/>
      <c r="E77" s="20">
        <f>-(Tabla26[[#This Row],[STOCK ACTUAL]]-Tabla26[[#This Row],[CONSUMO MENSUAL]]*1.15)</f>
        <v>0</v>
      </c>
      <c r="F77" s="29"/>
      <c r="G77" s="11"/>
    </row>
    <row r="78" spans="1:7" ht="15" customHeight="1" x14ac:dyDescent="0.25">
      <c r="A78" s="8" t="s">
        <v>654</v>
      </c>
      <c r="B78" s="8" t="s">
        <v>726</v>
      </c>
      <c r="C78" s="26"/>
      <c r="D78" s="26"/>
      <c r="E78" s="20">
        <f>-(Tabla26[[#This Row],[STOCK ACTUAL]]-Tabla26[[#This Row],[CONSUMO MENSUAL]]*1.15)</f>
        <v>0</v>
      </c>
      <c r="F78" s="29"/>
      <c r="G78" s="11"/>
    </row>
    <row r="79" spans="1:7" ht="15" customHeight="1" x14ac:dyDescent="0.25">
      <c r="A79" s="8" t="s">
        <v>654</v>
      </c>
      <c r="B79" s="8" t="s">
        <v>727</v>
      </c>
      <c r="C79" s="26"/>
      <c r="D79" s="26"/>
      <c r="E79" s="20">
        <f>-(Tabla26[[#This Row],[STOCK ACTUAL]]-Tabla26[[#This Row],[CONSUMO MENSUAL]]*1.15)</f>
        <v>0</v>
      </c>
      <c r="F79" s="29"/>
      <c r="G79" s="11"/>
    </row>
    <row r="80" spans="1:7" ht="15" customHeight="1" x14ac:dyDescent="0.25">
      <c r="A80" s="8" t="s">
        <v>654</v>
      </c>
      <c r="B80" s="8" t="s">
        <v>728</v>
      </c>
      <c r="C80" s="26"/>
      <c r="D80" s="26"/>
      <c r="E80" s="20">
        <f>-(Tabla26[[#This Row],[STOCK ACTUAL]]-Tabla26[[#This Row],[CONSUMO MENSUAL]]*1.15)</f>
        <v>0</v>
      </c>
      <c r="F80" s="29"/>
      <c r="G80" s="11"/>
    </row>
    <row r="81" spans="1:7" ht="15" customHeight="1" x14ac:dyDescent="0.25">
      <c r="A81" s="8" t="s">
        <v>654</v>
      </c>
      <c r="B81" s="8" t="s">
        <v>729</v>
      </c>
      <c r="C81" s="26"/>
      <c r="D81" s="26"/>
      <c r="E81" s="20">
        <f>-(Tabla26[[#This Row],[STOCK ACTUAL]]-Tabla26[[#This Row],[CONSUMO MENSUAL]]*1.15)</f>
        <v>0</v>
      </c>
      <c r="F81" s="28"/>
      <c r="G81" s="11"/>
    </row>
    <row r="82" spans="1:7" ht="15" customHeight="1" x14ac:dyDescent="0.25">
      <c r="A82" s="8" t="s">
        <v>654</v>
      </c>
      <c r="B82" s="8" t="s">
        <v>730</v>
      </c>
      <c r="C82" s="26"/>
      <c r="D82" s="26"/>
      <c r="E82" s="20">
        <f>-(Tabla26[[#This Row],[STOCK ACTUAL]]-Tabla26[[#This Row],[CONSUMO MENSUAL]]*1.15)</f>
        <v>0</v>
      </c>
      <c r="F82" s="29"/>
      <c r="G82" s="11"/>
    </row>
    <row r="83" spans="1:7" ht="15" customHeight="1" x14ac:dyDescent="0.25">
      <c r="A83" s="8" t="s">
        <v>654</v>
      </c>
      <c r="B83" s="8" t="s">
        <v>731</v>
      </c>
      <c r="C83" s="26"/>
      <c r="D83" s="26"/>
      <c r="E83" s="20">
        <f>-(Tabla26[[#This Row],[STOCK ACTUAL]]-Tabla26[[#This Row],[CONSUMO MENSUAL]]*1.15)</f>
        <v>0</v>
      </c>
      <c r="F83" s="29"/>
      <c r="G83" s="11"/>
    </row>
    <row r="84" spans="1:7" ht="15" customHeight="1" x14ac:dyDescent="0.25">
      <c r="A84" s="8" t="s">
        <v>654</v>
      </c>
      <c r="B84" s="8" t="s">
        <v>732</v>
      </c>
      <c r="C84" s="26"/>
      <c r="D84" s="26"/>
      <c r="E84" s="20">
        <f>-(Tabla26[[#This Row],[STOCK ACTUAL]]-Tabla26[[#This Row],[CONSUMO MENSUAL]]*1.15)</f>
        <v>0</v>
      </c>
      <c r="F84" s="29"/>
      <c r="G84" s="11"/>
    </row>
    <row r="85" spans="1:7" ht="15" customHeight="1" x14ac:dyDescent="0.25">
      <c r="A85" s="8" t="s">
        <v>654</v>
      </c>
      <c r="B85" s="8" t="s">
        <v>733</v>
      </c>
      <c r="C85" s="26"/>
      <c r="D85" s="26"/>
      <c r="E85" s="20">
        <f>-(Tabla26[[#This Row],[STOCK ACTUAL]]-Tabla26[[#This Row],[CONSUMO MENSUAL]]*1.15)</f>
        <v>0</v>
      </c>
      <c r="F85" s="29"/>
      <c r="G85" s="11"/>
    </row>
    <row r="86" spans="1:7" ht="15" customHeight="1" x14ac:dyDescent="0.25">
      <c r="A86" s="8" t="s">
        <v>654</v>
      </c>
      <c r="B86" s="8" t="s">
        <v>734</v>
      </c>
      <c r="C86" s="26"/>
      <c r="D86" s="26"/>
      <c r="E86" s="20">
        <f>-(Tabla26[[#This Row],[STOCK ACTUAL]]-Tabla26[[#This Row],[CONSUMO MENSUAL]]*1.15)</f>
        <v>0</v>
      </c>
      <c r="F86" s="29"/>
      <c r="G86" s="11"/>
    </row>
    <row r="87" spans="1:7" ht="15" customHeight="1" x14ac:dyDescent="0.25">
      <c r="A87" s="8" t="s">
        <v>654</v>
      </c>
      <c r="B87" s="8" t="s">
        <v>735</v>
      </c>
      <c r="C87" s="26"/>
      <c r="D87" s="26"/>
      <c r="E87" s="20">
        <f>-(Tabla26[[#This Row],[STOCK ACTUAL]]-Tabla26[[#This Row],[CONSUMO MENSUAL]]*1.15)</f>
        <v>0</v>
      </c>
      <c r="F87" s="29"/>
      <c r="G87" s="11"/>
    </row>
    <row r="88" spans="1:7" ht="15" customHeight="1" x14ac:dyDescent="0.25">
      <c r="A88" s="8" t="s">
        <v>654</v>
      </c>
      <c r="B88" s="8" t="s">
        <v>736</v>
      </c>
      <c r="C88" s="26"/>
      <c r="D88" s="26"/>
      <c r="E88" s="20">
        <f>-(Tabla26[[#This Row],[STOCK ACTUAL]]-Tabla26[[#This Row],[CONSUMO MENSUAL]]*1.15)</f>
        <v>0</v>
      </c>
      <c r="F88" s="28"/>
      <c r="G88" s="11"/>
    </row>
    <row r="89" spans="1:7" ht="15" customHeight="1" x14ac:dyDescent="0.25">
      <c r="A89" s="8" t="s">
        <v>654</v>
      </c>
      <c r="B89" s="8" t="s">
        <v>737</v>
      </c>
      <c r="C89" s="26"/>
      <c r="D89" s="26"/>
      <c r="E89" s="20">
        <f>-(Tabla26[[#This Row],[STOCK ACTUAL]]-Tabla26[[#This Row],[CONSUMO MENSUAL]]*1.15)</f>
        <v>0</v>
      </c>
      <c r="F89" s="29"/>
      <c r="G89" s="11"/>
    </row>
    <row r="90" spans="1:7" ht="15" customHeight="1" x14ac:dyDescent="0.25">
      <c r="A90" s="8" t="s">
        <v>654</v>
      </c>
      <c r="B90" s="8" t="s">
        <v>738</v>
      </c>
      <c r="C90" s="26"/>
      <c r="D90" s="26"/>
      <c r="E90" s="20">
        <f>-(Tabla26[[#This Row],[STOCK ACTUAL]]-Tabla26[[#This Row],[CONSUMO MENSUAL]]*1.15)</f>
        <v>0</v>
      </c>
      <c r="F90" s="29"/>
      <c r="G90" s="11"/>
    </row>
    <row r="91" spans="1:7" ht="15" customHeight="1" x14ac:dyDescent="0.25">
      <c r="A91" s="8" t="s">
        <v>654</v>
      </c>
      <c r="B91" s="8" t="s">
        <v>739</v>
      </c>
      <c r="C91" s="26"/>
      <c r="D91" s="26"/>
      <c r="E91" s="20">
        <f>-(Tabla26[[#This Row],[STOCK ACTUAL]]-Tabla26[[#This Row],[CONSUMO MENSUAL]]*1.15)</f>
        <v>0</v>
      </c>
      <c r="F91" s="29"/>
      <c r="G91" s="11"/>
    </row>
    <row r="92" spans="1:7" ht="15" customHeight="1" x14ac:dyDescent="0.25">
      <c r="A92" s="8" t="s">
        <v>654</v>
      </c>
      <c r="B92" s="8" t="s">
        <v>740</v>
      </c>
      <c r="C92" s="26"/>
      <c r="D92" s="26"/>
      <c r="E92" s="20">
        <f>-(Tabla26[[#This Row],[STOCK ACTUAL]]-Tabla26[[#This Row],[CONSUMO MENSUAL]]*1.15)</f>
        <v>0</v>
      </c>
      <c r="F92" s="29"/>
      <c r="G92" s="11"/>
    </row>
    <row r="93" spans="1:7" ht="15" customHeight="1" x14ac:dyDescent="0.25">
      <c r="A93" s="8" t="s">
        <v>654</v>
      </c>
      <c r="B93" s="8" t="s">
        <v>741</v>
      </c>
      <c r="C93" s="26"/>
      <c r="D93" s="26"/>
      <c r="E93" s="20">
        <f>-(Tabla26[[#This Row],[STOCK ACTUAL]]-Tabla26[[#This Row],[CONSUMO MENSUAL]]*1.15)</f>
        <v>0</v>
      </c>
      <c r="F93" s="29"/>
      <c r="G93" s="11"/>
    </row>
    <row r="94" spans="1:7" ht="15" customHeight="1" x14ac:dyDescent="0.25">
      <c r="A94" s="8" t="s">
        <v>654</v>
      </c>
      <c r="B94" s="8" t="s">
        <v>742</v>
      </c>
      <c r="C94" s="26"/>
      <c r="D94" s="26"/>
      <c r="E94" s="20">
        <f>-(Tabla26[[#This Row],[STOCK ACTUAL]]-Tabla26[[#This Row],[CONSUMO MENSUAL]]*1.15)</f>
        <v>0</v>
      </c>
      <c r="F94" s="29"/>
      <c r="G94" s="11"/>
    </row>
    <row r="95" spans="1:7" ht="15" customHeight="1" x14ac:dyDescent="0.25">
      <c r="A95" s="8" t="s">
        <v>654</v>
      </c>
      <c r="B95" s="8" t="s">
        <v>743</v>
      </c>
      <c r="C95" s="26"/>
      <c r="D95" s="26"/>
      <c r="E95" s="20">
        <f>-(Tabla26[[#This Row],[STOCK ACTUAL]]-Tabla26[[#This Row],[CONSUMO MENSUAL]]*1.15)</f>
        <v>0</v>
      </c>
      <c r="F95" s="29"/>
      <c r="G95" s="11"/>
    </row>
    <row r="96" spans="1:7" ht="15" customHeight="1" x14ac:dyDescent="0.25">
      <c r="A96" s="8" t="s">
        <v>654</v>
      </c>
      <c r="B96" s="8" t="s">
        <v>744</v>
      </c>
      <c r="C96" s="26"/>
      <c r="D96" s="26"/>
      <c r="E96" s="20">
        <f>-(Tabla26[[#This Row],[STOCK ACTUAL]]-Tabla26[[#This Row],[CONSUMO MENSUAL]]*1.15)</f>
        <v>0</v>
      </c>
      <c r="F96" s="29"/>
      <c r="G96" s="11"/>
    </row>
    <row r="97" spans="1:7" ht="15" customHeight="1" x14ac:dyDescent="0.25">
      <c r="A97" s="8" t="s">
        <v>654</v>
      </c>
      <c r="B97" s="8" t="s">
        <v>745</v>
      </c>
      <c r="C97" s="26"/>
      <c r="D97" s="26"/>
      <c r="E97" s="20">
        <f>-(Tabla26[[#This Row],[STOCK ACTUAL]]-Tabla26[[#This Row],[CONSUMO MENSUAL]]*1.15)</f>
        <v>0</v>
      </c>
      <c r="F97" s="29"/>
      <c r="G97" s="11"/>
    </row>
    <row r="98" spans="1:7" ht="15" customHeight="1" x14ac:dyDescent="0.25">
      <c r="A98" s="8" t="s">
        <v>654</v>
      </c>
      <c r="B98" s="8" t="s">
        <v>746</v>
      </c>
      <c r="C98" s="26"/>
      <c r="D98" s="26"/>
      <c r="E98" s="20">
        <f>-(Tabla26[[#This Row],[STOCK ACTUAL]]-Tabla26[[#This Row],[CONSUMO MENSUAL]]*1.15)</f>
        <v>0</v>
      </c>
      <c r="F98" s="29"/>
      <c r="G98" s="11"/>
    </row>
    <row r="99" spans="1:7" ht="15" customHeight="1" x14ac:dyDescent="0.25">
      <c r="A99" s="8" t="s">
        <v>654</v>
      </c>
      <c r="B99" s="8" t="s">
        <v>747</v>
      </c>
      <c r="C99" s="26"/>
      <c r="D99" s="26"/>
      <c r="E99" s="20">
        <f>-(Tabla26[[#This Row],[STOCK ACTUAL]]-Tabla26[[#This Row],[CONSUMO MENSUAL]]*1.15)</f>
        <v>0</v>
      </c>
      <c r="F99" s="29"/>
      <c r="G99" s="11"/>
    </row>
    <row r="100" spans="1:7" ht="15" customHeight="1" x14ac:dyDescent="0.25">
      <c r="A100" s="8" t="s">
        <v>654</v>
      </c>
      <c r="B100" s="8" t="s">
        <v>748</v>
      </c>
      <c r="C100" s="26"/>
      <c r="D100" s="26"/>
      <c r="E100" s="20">
        <f>-(Tabla26[[#This Row],[STOCK ACTUAL]]-Tabla26[[#This Row],[CONSUMO MENSUAL]]*1.15)</f>
        <v>0</v>
      </c>
      <c r="F100" s="29"/>
      <c r="G100" s="11"/>
    </row>
    <row r="101" spans="1:7" ht="15" customHeight="1" x14ac:dyDescent="0.25">
      <c r="A101" s="8" t="s">
        <v>654</v>
      </c>
      <c r="B101" s="8" t="s">
        <v>749</v>
      </c>
      <c r="C101" s="26"/>
      <c r="D101" s="26"/>
      <c r="E101" s="20">
        <f>-(Tabla26[[#This Row],[STOCK ACTUAL]]-Tabla26[[#This Row],[CONSUMO MENSUAL]]*1.15)</f>
        <v>0</v>
      </c>
      <c r="F101" s="29"/>
      <c r="G101" s="11"/>
    </row>
    <row r="102" spans="1:7" ht="15" customHeight="1" x14ac:dyDescent="0.25">
      <c r="A102" s="8" t="s">
        <v>654</v>
      </c>
      <c r="B102" s="8" t="s">
        <v>750</v>
      </c>
      <c r="C102" s="26"/>
      <c r="D102" s="26"/>
      <c r="E102" s="20">
        <f>-(Tabla26[[#This Row],[STOCK ACTUAL]]-Tabla26[[#This Row],[CONSUMO MENSUAL]]*1.15)</f>
        <v>0</v>
      </c>
      <c r="F102" s="28"/>
      <c r="G102" s="11"/>
    </row>
    <row r="103" spans="1:7" ht="15" customHeight="1" x14ac:dyDescent="0.25">
      <c r="A103" s="8" t="s">
        <v>654</v>
      </c>
      <c r="B103" s="8" t="s">
        <v>751</v>
      </c>
      <c r="C103" s="26"/>
      <c r="D103" s="26"/>
      <c r="E103" s="20">
        <f>-(Tabla26[[#This Row],[STOCK ACTUAL]]-Tabla26[[#This Row],[CONSUMO MENSUAL]]*1.15)</f>
        <v>0</v>
      </c>
      <c r="F103" s="28"/>
      <c r="G103" s="11"/>
    </row>
    <row r="104" spans="1:7" ht="15" customHeight="1" x14ac:dyDescent="0.25">
      <c r="A104" s="8" t="s">
        <v>654</v>
      </c>
      <c r="B104" s="8" t="s">
        <v>752</v>
      </c>
      <c r="C104" s="26"/>
      <c r="D104" s="26"/>
      <c r="E104" s="20">
        <f>-(Tabla26[[#This Row],[STOCK ACTUAL]]-Tabla26[[#This Row],[CONSUMO MENSUAL]]*1.15)</f>
        <v>0</v>
      </c>
      <c r="F104" s="29"/>
      <c r="G104" s="11"/>
    </row>
    <row r="105" spans="1:7" ht="15" customHeight="1" x14ac:dyDescent="0.25">
      <c r="A105" s="8" t="s">
        <v>654</v>
      </c>
      <c r="B105" s="8" t="s">
        <v>753</v>
      </c>
      <c r="C105" s="26"/>
      <c r="D105" s="26"/>
      <c r="E105" s="20">
        <f>-(Tabla26[[#This Row],[STOCK ACTUAL]]-Tabla26[[#This Row],[CONSUMO MENSUAL]]*1.15)</f>
        <v>0</v>
      </c>
      <c r="F105" s="28"/>
      <c r="G105" s="11"/>
    </row>
    <row r="106" spans="1:7" ht="15" customHeight="1" x14ac:dyDescent="0.25">
      <c r="A106" s="8" t="s">
        <v>654</v>
      </c>
      <c r="B106" s="8" t="s">
        <v>754</v>
      </c>
      <c r="C106" s="26"/>
      <c r="D106" s="26"/>
      <c r="E106" s="20">
        <f>-(Tabla26[[#This Row],[STOCK ACTUAL]]-Tabla26[[#This Row],[CONSUMO MENSUAL]]*1.15)</f>
        <v>0</v>
      </c>
      <c r="F106" s="28"/>
      <c r="G106" s="11"/>
    </row>
    <row r="107" spans="1:7" ht="15" customHeight="1" x14ac:dyDescent="0.25">
      <c r="A107" s="17"/>
      <c r="B107" s="18"/>
      <c r="C107" s="26"/>
      <c r="D107" s="26"/>
      <c r="E107" s="20">
        <f>-(Tabla26[[#This Row],[STOCK ACTUAL]]-Tabla26[[#This Row],[CONSUMO MENSUAL]]*1.15)</f>
        <v>0</v>
      </c>
      <c r="F107" s="27"/>
      <c r="G107" s="11"/>
    </row>
    <row r="108" spans="1:7" ht="15" customHeight="1" x14ac:dyDescent="0.25">
      <c r="A108" s="17"/>
      <c r="B108" s="18"/>
      <c r="C108" s="26"/>
      <c r="D108" s="26"/>
      <c r="E108" s="20">
        <f>-(Tabla26[[#This Row],[STOCK ACTUAL]]-Tabla26[[#This Row],[CONSUMO MENSUAL]]*1.15)</f>
        <v>0</v>
      </c>
      <c r="F108" s="27"/>
      <c r="G108" s="11"/>
    </row>
    <row r="109" spans="1:7" ht="15" customHeight="1" x14ac:dyDescent="0.25">
      <c r="A109" s="17"/>
      <c r="B109" s="18"/>
      <c r="C109" s="26"/>
      <c r="D109" s="26"/>
      <c r="E109" s="20">
        <f>-(Tabla26[[#This Row],[STOCK ACTUAL]]-Tabla26[[#This Row],[CONSUMO MENSUAL]]*1.15)</f>
        <v>0</v>
      </c>
      <c r="F109" s="27"/>
      <c r="G109" s="11"/>
    </row>
    <row r="110" spans="1:7" ht="15" customHeight="1" x14ac:dyDescent="0.25">
      <c r="A110" s="17"/>
      <c r="B110" s="18"/>
      <c r="C110" s="26"/>
      <c r="D110" s="26"/>
      <c r="E110" s="20">
        <f>-(Tabla26[[#This Row],[STOCK ACTUAL]]-Tabla26[[#This Row],[CONSUMO MENSUAL]]*1.15)</f>
        <v>0</v>
      </c>
      <c r="F110" s="27"/>
      <c r="G110" s="11"/>
    </row>
    <row r="111" spans="1:7" ht="15" customHeight="1" x14ac:dyDescent="0.25">
      <c r="A111" s="17"/>
      <c r="B111" s="18"/>
      <c r="C111" s="26"/>
      <c r="D111" s="26"/>
      <c r="E111" s="20">
        <f>-(Tabla26[[#This Row],[STOCK ACTUAL]]-Tabla26[[#This Row],[CONSUMO MENSUAL]]*1.15)</f>
        <v>0</v>
      </c>
      <c r="F111" s="27"/>
      <c r="G111" s="11"/>
    </row>
  </sheetData>
  <sheetProtection algorithmName="SHA-512" hashValue="KnW1iaJJu3sMOo0+dncOIeUBW4qea0xcOKRUbHlij3wM3YjU7ggrVoOf4l82vD4X1tysOwCbrwFGi0SKvz7BBQ==" saltValue="qjvy+mg9FiH2zqfZFuuLIw==" spinCount="100000" sheet="1" autoFilter="0"/>
  <protectedRanges>
    <protectedRange sqref="F2:G2" name="Rango1"/>
    <protectedRange sqref="F3:G3" name="Rango1_1"/>
    <protectedRange sqref="C6:D111 F6:F111" name="Rango2_1_1"/>
  </protectedRanges>
  <mergeCells count="4">
    <mergeCell ref="A1:A4"/>
    <mergeCell ref="B2:D3"/>
    <mergeCell ref="F2:G2"/>
    <mergeCell ref="F3:G3"/>
  </mergeCells>
  <conditionalFormatting sqref="E6:E111">
    <cfRule type="cellIs" dxfId="2" priority="1" operator="lessThan">
      <formula>0</formula>
    </cfRule>
  </conditionalFormatting>
  <dataValidations count="3">
    <dataValidation type="list" allowBlank="1" showInputMessage="1" showErrorMessage="1" error="¡¡¡¡¡¡¡¡  HERRORRR   SOLO_x000a_ DATOS DE LA LISTA !!!!!!" prompt="¡¡.....  INGRESE _x000a_DATOS_x000a_DE LA LISTA ...!!" sqref="F2:G2" xr:uid="{00000000-0002-0000-0200-000000000000}">
      <formula1>$J$1:$J$11</formula1>
    </dataValidation>
    <dataValidation type="date" operator="greaterThanOrEqual" allowBlank="1" showInputMessage="1" showErrorMessage="1" error="Fecha mal _x000a_ingresada_x000a_(00-00-2024)" sqref="F3:G3" xr:uid="{00000000-0002-0000-0200-000001000000}">
      <formula1>45352</formula1>
    </dataValidation>
    <dataValidation type="whole" allowBlank="1" showInputMessage="1" showErrorMessage="1" error="¡¡¡¡¡¡....Ingresar_x000a_solo_x000a_ numeros...!!!!!!!" sqref="C6:D111 G6:G111 F107:F111" xr:uid="{00000000-0002-0000-0200-000002000000}">
      <formula1>0</formula1>
      <formula2>500000</formula2>
    </dataValidation>
  </dataValidations>
  <pageMargins left="0.31496062992125984" right="0" top="0.35433070866141736" bottom="0.35433070866141736" header="0.31496062992125984" footer="0.31496062992125984"/>
  <pageSetup scale="80" orientation="landscape" r:id="rId1"/>
  <colBreaks count="1" manualBreakCount="1">
    <brk id="7" max="1048575" man="1"/>
  </colBreaks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topLeftCell="B1" zoomScale="106" zoomScaleNormal="106" workbookViewId="0">
      <selection activeCell="F3" sqref="F3:G3"/>
    </sheetView>
  </sheetViews>
  <sheetFormatPr baseColWidth="10" defaultColWidth="11.42578125" defaultRowHeight="15" customHeight="1" x14ac:dyDescent="0.25"/>
  <cols>
    <col min="1" max="1" width="14.7109375" style="2" customWidth="1"/>
    <col min="2" max="2" width="54" style="10" customWidth="1"/>
    <col min="3" max="3" width="17.28515625" style="2" customWidth="1"/>
    <col min="4" max="4" width="14.7109375" style="2" customWidth="1"/>
    <col min="5" max="5" width="18.7109375" style="2" customWidth="1"/>
    <col min="6" max="6" width="17" style="2" customWidth="1"/>
    <col min="7" max="7" width="22.140625" style="2" customWidth="1"/>
    <col min="8" max="9" width="11.42578125" style="2"/>
    <col min="10" max="10" width="0" style="2" hidden="1" customWidth="1"/>
    <col min="11" max="16384" width="11.42578125" style="2"/>
  </cols>
  <sheetData>
    <row r="1" spans="1:10" ht="15" customHeight="1" x14ac:dyDescent="0.25">
      <c r="A1" s="30"/>
      <c r="B1" s="1"/>
      <c r="J1" s="2" t="s">
        <v>0</v>
      </c>
    </row>
    <row r="2" spans="1:10" ht="15" customHeight="1" x14ac:dyDescent="0.25">
      <c r="A2" s="30"/>
      <c r="B2" s="31" t="s">
        <v>1</v>
      </c>
      <c r="C2" s="31"/>
      <c r="D2" s="31"/>
      <c r="E2" s="3" t="s">
        <v>2</v>
      </c>
      <c r="F2" s="32" t="s">
        <v>5</v>
      </c>
      <c r="G2" s="32"/>
      <c r="J2" s="2" t="s">
        <v>3</v>
      </c>
    </row>
    <row r="3" spans="1:10" ht="15" customHeight="1" x14ac:dyDescent="0.25">
      <c r="A3" s="30"/>
      <c r="B3" s="31"/>
      <c r="C3" s="31"/>
      <c r="D3" s="31"/>
      <c r="E3" s="3" t="s">
        <v>4</v>
      </c>
      <c r="F3" s="33"/>
      <c r="G3" s="33"/>
      <c r="J3" s="2" t="s">
        <v>5</v>
      </c>
    </row>
    <row r="4" spans="1:10" ht="15" customHeight="1" x14ac:dyDescent="0.25">
      <c r="A4" s="30"/>
      <c r="B4" s="1"/>
      <c r="J4" s="2" t="s">
        <v>6</v>
      </c>
    </row>
    <row r="5" spans="1:10" ht="15" customHeight="1" x14ac:dyDescent="0.25">
      <c r="A5" s="4" t="s">
        <v>7</v>
      </c>
      <c r="B5" s="5" t="s">
        <v>8</v>
      </c>
      <c r="C5" s="6" t="s">
        <v>9</v>
      </c>
      <c r="D5" s="6" t="s">
        <v>10</v>
      </c>
      <c r="E5" s="6" t="s">
        <v>11</v>
      </c>
      <c r="F5" s="6" t="s">
        <v>12</v>
      </c>
      <c r="G5" s="7" t="s">
        <v>13</v>
      </c>
      <c r="J5" s="2" t="s">
        <v>14</v>
      </c>
    </row>
    <row r="6" spans="1:10" ht="15" customHeight="1" x14ac:dyDescent="0.25">
      <c r="A6" s="8" t="s">
        <v>755</v>
      </c>
      <c r="B6" s="8" t="s">
        <v>756</v>
      </c>
      <c r="C6" s="26"/>
      <c r="D6" s="26"/>
      <c r="E6" s="20">
        <f>-(Tabla25[[#This Row],[STOCK ACTUAL]]-Tabla25[[#This Row],[CONSUMO MENSUAL]]*1.15)</f>
        <v>0</v>
      </c>
      <c r="F6" s="27"/>
      <c r="G6" s="11"/>
      <c r="J6" s="2" t="s">
        <v>311</v>
      </c>
    </row>
    <row r="7" spans="1:10" ht="15" customHeight="1" x14ac:dyDescent="0.25">
      <c r="A7" s="8" t="s">
        <v>755</v>
      </c>
      <c r="B7" s="8" t="s">
        <v>757</v>
      </c>
      <c r="C7" s="26"/>
      <c r="D7" s="26"/>
      <c r="E7" s="20">
        <f>-(Tabla25[[#This Row],[STOCK ACTUAL]]-Tabla25[[#This Row],[CONSUMO MENSUAL]]*1.15)</f>
        <v>0</v>
      </c>
      <c r="F7" s="27"/>
      <c r="G7" s="11"/>
      <c r="J7" s="2" t="s">
        <v>17</v>
      </c>
    </row>
    <row r="8" spans="1:10" ht="15" customHeight="1" x14ac:dyDescent="0.25">
      <c r="A8" s="8" t="s">
        <v>755</v>
      </c>
      <c r="B8" s="8" t="s">
        <v>758</v>
      </c>
      <c r="C8" s="26"/>
      <c r="D8" s="26"/>
      <c r="E8" s="20">
        <f>-(Tabla25[[#This Row],[STOCK ACTUAL]]-Tabla25[[#This Row],[CONSUMO MENSUAL]]*1.15)</f>
        <v>0</v>
      </c>
      <c r="F8" s="27"/>
      <c r="G8" s="11"/>
      <c r="J8" s="2" t="s">
        <v>20</v>
      </c>
    </row>
    <row r="9" spans="1:10" ht="15" customHeight="1" x14ac:dyDescent="0.25">
      <c r="A9" s="8" t="s">
        <v>755</v>
      </c>
      <c r="B9" s="8" t="s">
        <v>759</v>
      </c>
      <c r="C9" s="26"/>
      <c r="D9" s="26"/>
      <c r="E9" s="20">
        <f>-(Tabla25[[#This Row],[STOCK ACTUAL]]-Tabla25[[#This Row],[CONSUMO MENSUAL]]*1.15)</f>
        <v>0</v>
      </c>
      <c r="F9" s="27"/>
      <c r="G9" s="11"/>
      <c r="J9" s="2" t="s">
        <v>22</v>
      </c>
    </row>
    <row r="10" spans="1:10" ht="15" customHeight="1" x14ac:dyDescent="0.25">
      <c r="A10" s="8" t="s">
        <v>755</v>
      </c>
      <c r="B10" s="8" t="s">
        <v>760</v>
      </c>
      <c r="C10" s="26"/>
      <c r="D10" s="26"/>
      <c r="E10" s="20">
        <f>-(Tabla25[[#This Row],[STOCK ACTUAL]]-Tabla25[[#This Row],[CONSUMO MENSUAL]]*1.15)</f>
        <v>0</v>
      </c>
      <c r="F10" s="27"/>
      <c r="G10" s="11"/>
      <c r="J10" s="2" t="s">
        <v>24</v>
      </c>
    </row>
    <row r="11" spans="1:10" ht="15" customHeight="1" x14ac:dyDescent="0.25">
      <c r="A11" s="8" t="s">
        <v>755</v>
      </c>
      <c r="B11" s="13" t="s">
        <v>761</v>
      </c>
      <c r="C11" s="26"/>
      <c r="D11" s="26"/>
      <c r="E11" s="20">
        <f>-(Tabla25[[#This Row],[STOCK ACTUAL]]-Tabla25[[#This Row],[CONSUMO MENSUAL]]*1.15)</f>
        <v>0</v>
      </c>
      <c r="F11" s="27"/>
      <c r="G11" s="11"/>
      <c r="J11" s="2" t="s">
        <v>27</v>
      </c>
    </row>
    <row r="12" spans="1:10" ht="15" customHeight="1" x14ac:dyDescent="0.25">
      <c r="A12" s="8" t="s">
        <v>755</v>
      </c>
      <c r="B12" s="8" t="s">
        <v>762</v>
      </c>
      <c r="C12" s="26"/>
      <c r="D12" s="26"/>
      <c r="E12" s="20">
        <f>-(Tabla25[[#This Row],[STOCK ACTUAL]]-Tabla25[[#This Row],[CONSUMO MENSUAL]]*1.15)</f>
        <v>0</v>
      </c>
      <c r="F12" s="27"/>
      <c r="G12" s="11"/>
      <c r="J12" s="2" t="s">
        <v>29</v>
      </c>
    </row>
    <row r="13" spans="1:10" ht="15" customHeight="1" x14ac:dyDescent="0.25">
      <c r="A13" s="8" t="s">
        <v>755</v>
      </c>
      <c r="B13" s="8" t="s">
        <v>763</v>
      </c>
      <c r="C13" s="26"/>
      <c r="D13" s="26"/>
      <c r="E13" s="20">
        <f>-(Tabla25[[#This Row],[STOCK ACTUAL]]-Tabla25[[#This Row],[CONSUMO MENSUAL]]*1.15)</f>
        <v>0</v>
      </c>
      <c r="F13" s="27"/>
      <c r="G13" s="11"/>
    </row>
    <row r="14" spans="1:10" ht="15" customHeight="1" x14ac:dyDescent="0.25">
      <c r="A14" s="8" t="s">
        <v>755</v>
      </c>
      <c r="B14" s="8" t="s">
        <v>764</v>
      </c>
      <c r="C14" s="16"/>
      <c r="D14" s="16"/>
      <c r="E14" s="20">
        <f>-(Tabla25[[#This Row],[STOCK ACTUAL]]-Tabla25[[#This Row],[CONSUMO MENSUAL]]*1.15)</f>
        <v>0</v>
      </c>
      <c r="F14" s="16"/>
      <c r="G14" s="15"/>
    </row>
    <row r="15" spans="1:10" ht="15" customHeight="1" x14ac:dyDescent="0.25">
      <c r="A15" s="8" t="s">
        <v>755</v>
      </c>
      <c r="B15" s="8" t="s">
        <v>765</v>
      </c>
      <c r="C15" s="16"/>
      <c r="D15" s="16"/>
      <c r="E15" s="20">
        <f>-(Tabla25[[#This Row],[STOCK ACTUAL]]-Tabla25[[#This Row],[CONSUMO MENSUAL]]*1.15)</f>
        <v>0</v>
      </c>
      <c r="F15" s="16"/>
      <c r="G15" s="15"/>
    </row>
    <row r="16" spans="1:10" ht="15" customHeight="1" x14ac:dyDescent="0.25">
      <c r="A16" s="8" t="s">
        <v>755</v>
      </c>
      <c r="B16" s="8" t="s">
        <v>766</v>
      </c>
      <c r="C16" s="16"/>
      <c r="D16" s="16"/>
      <c r="E16" s="20">
        <f>-(Tabla25[[#This Row],[STOCK ACTUAL]]-Tabla25[[#This Row],[CONSUMO MENSUAL]]*1.15)</f>
        <v>0</v>
      </c>
      <c r="F16" s="16"/>
      <c r="G16" s="15"/>
    </row>
    <row r="17" spans="1:7" ht="15" customHeight="1" x14ac:dyDescent="0.25">
      <c r="A17" s="8" t="s">
        <v>755</v>
      </c>
      <c r="B17" s="9" t="s">
        <v>767</v>
      </c>
      <c r="C17" s="16"/>
      <c r="D17" s="16"/>
      <c r="E17" s="20">
        <f>-(Tabla25[[#This Row],[STOCK ACTUAL]]-Tabla25[[#This Row],[CONSUMO MENSUAL]]*1.15)</f>
        <v>0</v>
      </c>
      <c r="F17" s="16"/>
      <c r="G17" s="15"/>
    </row>
    <row r="18" spans="1:7" ht="15" customHeight="1" x14ac:dyDescent="0.25">
      <c r="A18" s="8" t="s">
        <v>755</v>
      </c>
      <c r="B18" s="9" t="s">
        <v>768</v>
      </c>
      <c r="C18" s="16"/>
      <c r="D18" s="16"/>
      <c r="E18" s="20">
        <f>-(Tabla25[[#This Row],[STOCK ACTUAL]]-Tabla25[[#This Row],[CONSUMO MENSUAL]]*1.15)</f>
        <v>0</v>
      </c>
      <c r="F18" s="16"/>
      <c r="G18" s="15"/>
    </row>
    <row r="19" spans="1:7" ht="15" customHeight="1" x14ac:dyDescent="0.25">
      <c r="A19" s="8" t="s">
        <v>755</v>
      </c>
      <c r="B19" s="9" t="s">
        <v>769</v>
      </c>
      <c r="C19" s="16"/>
      <c r="D19" s="16"/>
      <c r="E19" s="20">
        <f>-(Tabla25[[#This Row],[STOCK ACTUAL]]-Tabla25[[#This Row],[CONSUMO MENSUAL]]*1.15)</f>
        <v>0</v>
      </c>
      <c r="F19" s="16"/>
      <c r="G19" s="15"/>
    </row>
    <row r="20" spans="1:7" ht="15" customHeight="1" x14ac:dyDescent="0.25">
      <c r="A20" s="8" t="s">
        <v>755</v>
      </c>
      <c r="B20" s="8" t="s">
        <v>770</v>
      </c>
      <c r="C20" s="16"/>
      <c r="D20" s="16"/>
      <c r="E20" s="20">
        <f>-(Tabla25[[#This Row],[STOCK ACTUAL]]-Tabla25[[#This Row],[CONSUMO MENSUAL]]*1.15)</f>
        <v>0</v>
      </c>
      <c r="F20" s="16"/>
      <c r="G20" s="15"/>
    </row>
    <row r="21" spans="1:7" ht="15" customHeight="1" x14ac:dyDescent="0.25">
      <c r="A21" s="17"/>
      <c r="B21" s="18"/>
      <c r="C21" s="16"/>
      <c r="D21" s="16"/>
      <c r="E21" s="20">
        <f>-(Tabla25[[#This Row],[STOCK ACTUAL]]-Tabla25[[#This Row],[CONSUMO MENSUAL]]*1.15)</f>
        <v>0</v>
      </c>
      <c r="F21" s="16"/>
      <c r="G21" s="15"/>
    </row>
    <row r="22" spans="1:7" ht="15" customHeight="1" x14ac:dyDescent="0.25">
      <c r="A22" s="17"/>
      <c r="B22" s="18"/>
      <c r="C22" s="16"/>
      <c r="D22" s="16"/>
      <c r="E22" s="20">
        <f>-(Tabla25[[#This Row],[STOCK ACTUAL]]-Tabla25[[#This Row],[CONSUMO MENSUAL]]*1.15)</f>
        <v>0</v>
      </c>
      <c r="F22" s="16"/>
      <c r="G22" s="15"/>
    </row>
    <row r="23" spans="1:7" ht="15" customHeight="1" x14ac:dyDescent="0.25">
      <c r="A23" s="17"/>
      <c r="B23" s="18"/>
      <c r="C23" s="16"/>
      <c r="D23" s="16"/>
      <c r="E23" s="20">
        <f>-(Tabla25[[#This Row],[STOCK ACTUAL]]-Tabla25[[#This Row],[CONSUMO MENSUAL]]*1.15)</f>
        <v>0</v>
      </c>
      <c r="F23" s="16"/>
      <c r="G23" s="16"/>
    </row>
    <row r="24" spans="1:7" ht="15" customHeight="1" x14ac:dyDescent="0.25">
      <c r="A24" s="17"/>
      <c r="B24" s="18"/>
      <c r="C24" s="16"/>
      <c r="D24" s="16"/>
      <c r="E24" s="20">
        <f>-(Tabla25[[#This Row],[STOCK ACTUAL]]-Tabla25[[#This Row],[CONSUMO MENSUAL]]*1.15)</f>
        <v>0</v>
      </c>
      <c r="F24" s="16"/>
      <c r="G24" s="16"/>
    </row>
    <row r="25" spans="1:7" ht="15" customHeight="1" x14ac:dyDescent="0.25">
      <c r="A25" s="17"/>
      <c r="B25" s="18"/>
      <c r="C25" s="23"/>
      <c r="D25" s="23"/>
      <c r="E25" s="24">
        <f>-(Tabla25[[#This Row],[STOCK ACTUAL]]-Tabla25[[#This Row],[CONSUMO MENSUAL]]*1.15)</f>
        <v>0</v>
      </c>
      <c r="F25" s="23"/>
      <c r="G25" s="23"/>
    </row>
  </sheetData>
  <sheetProtection algorithmName="SHA-512" hashValue="JXi5uW53oThqbT/bbtBxe1sks+klhTkujnj3aA8zndp77jf6+mkA3Y0e//lq6FQZz1AtVlrDbXf4UrJqYIEj1g==" saltValue="SZoF2DpwU78cTlVo4gYIJA==" spinCount="100000" sheet="1" autoFilter="0"/>
  <protectedRanges>
    <protectedRange sqref="F2:G2" name="Rango1"/>
    <protectedRange sqref="C14:D24 F14:F24" name="Rango2"/>
    <protectedRange sqref="F3:G3" name="Rango1_1"/>
    <protectedRange sqref="C6:D13 F6:F13" name="Rango2_1_1"/>
  </protectedRanges>
  <mergeCells count="4">
    <mergeCell ref="A1:A4"/>
    <mergeCell ref="B2:D3"/>
    <mergeCell ref="F2:G2"/>
    <mergeCell ref="F3:G3"/>
  </mergeCells>
  <conditionalFormatting sqref="E6:E25">
    <cfRule type="cellIs" dxfId="1" priority="1" operator="lessThan">
      <formula>0</formula>
    </cfRule>
  </conditionalFormatting>
  <dataValidations count="3">
    <dataValidation type="list" allowBlank="1" showInputMessage="1" showErrorMessage="1" error="¡¡¡¡¡¡¡¡  HERRORRR   SOLO_x000a_ DATOS DE LA LISTA !!!!!!" prompt="¡¡.....  INGRESE _x000a_DATOS_x000a_DE LA LISTA ...!!" sqref="F2:G2" xr:uid="{00000000-0002-0000-0300-000000000000}">
      <formula1>$J$1:$J$12</formula1>
    </dataValidation>
    <dataValidation type="date" operator="greaterThanOrEqual" allowBlank="1" showInputMessage="1" showErrorMessage="1" error="Fecha mal _x000a_ingresada_x000a_(00-00-2024)" sqref="F3:G3" xr:uid="{00000000-0002-0000-0300-000001000000}">
      <formula1>45352</formula1>
    </dataValidation>
    <dataValidation type="whole" allowBlank="1" showInputMessage="1" showErrorMessage="1" error="¡¡¡¡¡¡....Ingresar_x000a_solo_x000a_ numeros...!!!!!!!" sqref="C6:D13 F6:G13" xr:uid="{00000000-0002-0000-0300-000002000000}">
      <formula1>0</formula1>
      <formula2>500000</formula2>
    </dataValidation>
  </dataValidations>
  <pageMargins left="0.31496062992125984" right="0" top="0.74803149606299213" bottom="0.35433070866141736" header="0.31496062992125984" footer="0.31496062992125984"/>
  <pageSetup scale="80" orientation="landscape" r:id="rId1"/>
  <colBreaks count="1" manualBreakCount="1">
    <brk id="7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4"/>
  <sheetViews>
    <sheetView zoomScale="80" zoomScaleNormal="80" workbookViewId="0">
      <pane ySplit="5" topLeftCell="A24" activePane="bottomLeft" state="frozen"/>
      <selection pane="bottomLeft" activeCell="F3" sqref="F3:G3"/>
    </sheetView>
  </sheetViews>
  <sheetFormatPr baseColWidth="10" defaultColWidth="11.42578125" defaultRowHeight="15" customHeight="1" x14ac:dyDescent="0.25"/>
  <cols>
    <col min="1" max="1" width="14.7109375" style="2" customWidth="1"/>
    <col min="2" max="2" width="54" style="10" customWidth="1"/>
    <col min="3" max="3" width="17.28515625" style="2" customWidth="1"/>
    <col min="4" max="4" width="14.7109375" style="2" customWidth="1"/>
    <col min="5" max="5" width="18.7109375" style="2" customWidth="1"/>
    <col min="6" max="6" width="17" style="2" customWidth="1"/>
    <col min="7" max="7" width="22.140625" style="2" customWidth="1"/>
    <col min="8" max="9" width="11.42578125" style="2"/>
    <col min="10" max="10" width="11.42578125" style="2" hidden="1" customWidth="1"/>
    <col min="11" max="16384" width="11.42578125" style="2"/>
  </cols>
  <sheetData>
    <row r="1" spans="1:10" ht="15" customHeight="1" x14ac:dyDescent="0.25">
      <c r="A1" s="30"/>
      <c r="B1" s="1"/>
      <c r="J1" s="2" t="s">
        <v>0</v>
      </c>
    </row>
    <row r="2" spans="1:10" ht="15" customHeight="1" x14ac:dyDescent="0.25">
      <c r="A2" s="30"/>
      <c r="B2" s="31" t="s">
        <v>1</v>
      </c>
      <c r="C2" s="31"/>
      <c r="D2" s="31"/>
      <c r="E2" s="3" t="s">
        <v>2</v>
      </c>
      <c r="F2" s="32" t="s">
        <v>5</v>
      </c>
      <c r="G2" s="32"/>
      <c r="J2" s="2" t="s">
        <v>3</v>
      </c>
    </row>
    <row r="3" spans="1:10" ht="15" customHeight="1" x14ac:dyDescent="0.25">
      <c r="A3" s="30"/>
      <c r="B3" s="31"/>
      <c r="C3" s="31"/>
      <c r="D3" s="31"/>
      <c r="E3" s="3" t="s">
        <v>4</v>
      </c>
      <c r="F3" s="33"/>
      <c r="G3" s="33"/>
      <c r="J3" s="2" t="s">
        <v>5</v>
      </c>
    </row>
    <row r="4" spans="1:10" ht="15" customHeight="1" x14ac:dyDescent="0.25">
      <c r="A4" s="30"/>
      <c r="B4" s="1"/>
      <c r="J4" s="2" t="s">
        <v>6</v>
      </c>
    </row>
    <row r="5" spans="1:10" ht="15" customHeight="1" x14ac:dyDescent="0.25">
      <c r="A5" s="4" t="s">
        <v>7</v>
      </c>
      <c r="B5" s="5" t="s">
        <v>8</v>
      </c>
      <c r="C5" s="6" t="s">
        <v>9</v>
      </c>
      <c r="D5" s="6" t="s">
        <v>10</v>
      </c>
      <c r="E5" s="6" t="s">
        <v>11</v>
      </c>
      <c r="F5" s="6" t="s">
        <v>12</v>
      </c>
      <c r="G5" s="7" t="s">
        <v>13</v>
      </c>
      <c r="J5" s="2" t="s">
        <v>14</v>
      </c>
    </row>
    <row r="6" spans="1:10" ht="33.75" customHeight="1" x14ac:dyDescent="0.25">
      <c r="A6" s="8" t="s">
        <v>471</v>
      </c>
      <c r="B6" s="25" t="s">
        <v>771</v>
      </c>
      <c r="C6" s="26"/>
      <c r="D6" s="26"/>
      <c r="E6" s="20">
        <f>-(Tabla278[[#This Row],[STOCK ACTUAL]]-Tabla278[[#This Row],[CONSUMO MENSUAL]]*1.15)</f>
        <v>0</v>
      </c>
      <c r="F6" s="27"/>
      <c r="G6" s="11"/>
      <c r="J6" s="2" t="s">
        <v>17</v>
      </c>
    </row>
    <row r="7" spans="1:10" ht="33.75" customHeight="1" x14ac:dyDescent="0.25">
      <c r="A7" s="8" t="s">
        <v>471</v>
      </c>
      <c r="B7" s="25" t="s">
        <v>772</v>
      </c>
      <c r="C7" s="26"/>
      <c r="D7" s="26"/>
      <c r="E7" s="20">
        <f>-(Tabla278[[#This Row],[STOCK ACTUAL]]-Tabla278[[#This Row],[CONSUMO MENSUAL]]*1.15)</f>
        <v>0</v>
      </c>
      <c r="F7" s="27"/>
      <c r="G7" s="11"/>
      <c r="J7" s="2" t="s">
        <v>20</v>
      </c>
    </row>
    <row r="8" spans="1:10" ht="26.25" customHeight="1" x14ac:dyDescent="0.25">
      <c r="A8" s="8" t="s">
        <v>471</v>
      </c>
      <c r="B8" s="25" t="s">
        <v>773</v>
      </c>
      <c r="C8" s="19"/>
      <c r="D8" s="19"/>
      <c r="E8" s="20">
        <f>-(Tabla278[[#This Row],[STOCK ACTUAL]]-Tabla278[[#This Row],[CONSUMO MENSUAL]]*1.15)</f>
        <v>0</v>
      </c>
      <c r="F8" s="12"/>
      <c r="G8" s="11"/>
      <c r="J8" s="2" t="s">
        <v>22</v>
      </c>
    </row>
    <row r="9" spans="1:10" ht="26.25" customHeight="1" x14ac:dyDescent="0.25">
      <c r="A9" s="8" t="s">
        <v>471</v>
      </c>
      <c r="B9" s="25" t="s">
        <v>774</v>
      </c>
      <c r="C9" s="19"/>
      <c r="D9" s="19"/>
      <c r="E9" s="20">
        <f>-(Tabla278[[#This Row],[STOCK ACTUAL]]-Tabla278[[#This Row],[CONSUMO MENSUAL]]*1.15)</f>
        <v>0</v>
      </c>
      <c r="F9" s="12"/>
      <c r="G9" s="11"/>
      <c r="J9" s="2" t="s">
        <v>24</v>
      </c>
    </row>
    <row r="10" spans="1:10" ht="26.25" customHeight="1" x14ac:dyDescent="0.25">
      <c r="A10" s="8" t="s">
        <v>471</v>
      </c>
      <c r="B10" s="25" t="s">
        <v>775</v>
      </c>
      <c r="C10" s="19"/>
      <c r="D10" s="19"/>
      <c r="E10" s="20">
        <f>-(Tabla278[[#This Row],[STOCK ACTUAL]]-Tabla278[[#This Row],[CONSUMO MENSUAL]]*1.15)</f>
        <v>0</v>
      </c>
      <c r="F10" s="12"/>
      <c r="G10" s="11"/>
      <c r="J10" s="2" t="s">
        <v>27</v>
      </c>
    </row>
    <row r="11" spans="1:10" ht="26.25" customHeight="1" x14ac:dyDescent="0.25">
      <c r="A11" s="8" t="s">
        <v>471</v>
      </c>
      <c r="B11" s="25" t="s">
        <v>776</v>
      </c>
      <c r="C11" s="19"/>
      <c r="D11" s="19"/>
      <c r="E11" s="20">
        <f>-(Tabla278[[#This Row],[STOCK ACTUAL]]-Tabla278[[#This Row],[CONSUMO MENSUAL]]*1.15)</f>
        <v>0</v>
      </c>
      <c r="F11" s="12"/>
      <c r="G11" s="11"/>
      <c r="J11" s="2" t="s">
        <v>29</v>
      </c>
    </row>
    <row r="12" spans="1:10" ht="33.75" customHeight="1" x14ac:dyDescent="0.25">
      <c r="A12" s="8" t="s">
        <v>471</v>
      </c>
      <c r="B12" s="25" t="s">
        <v>777</v>
      </c>
      <c r="C12" s="19"/>
      <c r="D12" s="19"/>
      <c r="E12" s="20">
        <f>-(Tabla278[[#This Row],[STOCK ACTUAL]]-Tabla278[[#This Row],[CONSUMO MENSUAL]]*1.15)</f>
        <v>0</v>
      </c>
      <c r="F12" s="12"/>
      <c r="G12" s="11"/>
    </row>
    <row r="13" spans="1:10" ht="23.25" customHeight="1" x14ac:dyDescent="0.25">
      <c r="A13" s="8" t="s">
        <v>471</v>
      </c>
      <c r="B13" s="25" t="s">
        <v>778</v>
      </c>
      <c r="C13" s="19"/>
      <c r="D13" s="19"/>
      <c r="E13" s="20">
        <f>-(Tabla278[[#This Row],[STOCK ACTUAL]]-Tabla278[[#This Row],[CONSUMO MENSUAL]]*1.15)</f>
        <v>0</v>
      </c>
      <c r="F13" s="12"/>
      <c r="G13" s="11"/>
    </row>
    <row r="14" spans="1:10" ht="33.75" customHeight="1" x14ac:dyDescent="0.25">
      <c r="A14" s="8" t="s">
        <v>471</v>
      </c>
      <c r="B14" s="25" t="s">
        <v>779</v>
      </c>
      <c r="C14" s="19"/>
      <c r="D14" s="19"/>
      <c r="E14" s="20">
        <f>-(Tabla278[[#This Row],[STOCK ACTUAL]]-Tabla278[[#This Row],[CONSUMO MENSUAL]]*1.15)</f>
        <v>0</v>
      </c>
      <c r="F14" s="12"/>
      <c r="G14" s="11"/>
    </row>
    <row r="15" spans="1:10" ht="33.75" customHeight="1" x14ac:dyDescent="0.25">
      <c r="A15" s="8" t="s">
        <v>471</v>
      </c>
      <c r="B15" s="25" t="s">
        <v>780</v>
      </c>
      <c r="C15" s="19"/>
      <c r="D15" s="19"/>
      <c r="E15" s="20">
        <f>-(Tabla278[[#This Row],[STOCK ACTUAL]]-Tabla278[[#This Row],[CONSUMO MENSUAL]]*1.15)</f>
        <v>0</v>
      </c>
      <c r="F15" s="12"/>
      <c r="G15" s="11"/>
    </row>
    <row r="16" spans="1:10" ht="33.75" customHeight="1" x14ac:dyDescent="0.25">
      <c r="A16" s="8" t="s">
        <v>471</v>
      </c>
      <c r="B16" s="25" t="s">
        <v>781</v>
      </c>
      <c r="C16" s="19"/>
      <c r="D16" s="19"/>
      <c r="E16" s="20">
        <f>-(Tabla278[[#This Row],[STOCK ACTUAL]]-Tabla278[[#This Row],[CONSUMO MENSUAL]]*1.15)</f>
        <v>0</v>
      </c>
      <c r="F16" s="12"/>
      <c r="G16" s="11"/>
    </row>
    <row r="17" spans="1:7" ht="33.75" customHeight="1" x14ac:dyDescent="0.25">
      <c r="A17" s="8" t="s">
        <v>471</v>
      </c>
      <c r="B17" s="25" t="s">
        <v>782</v>
      </c>
      <c r="C17" s="19"/>
      <c r="D17" s="19"/>
      <c r="E17" s="20">
        <f>-(Tabla278[[#This Row],[STOCK ACTUAL]]-Tabla278[[#This Row],[CONSUMO MENSUAL]]*1.15)</f>
        <v>0</v>
      </c>
      <c r="F17" s="12"/>
      <c r="G17" s="11"/>
    </row>
    <row r="18" spans="1:7" ht="33.75" customHeight="1" x14ac:dyDescent="0.25">
      <c r="A18" s="8" t="s">
        <v>471</v>
      </c>
      <c r="B18" s="25" t="s">
        <v>783</v>
      </c>
      <c r="C18" s="19"/>
      <c r="D18" s="19"/>
      <c r="E18" s="20">
        <f>-(Tabla278[[#This Row],[STOCK ACTUAL]]-Tabla278[[#This Row],[CONSUMO MENSUAL]]*1.15)</f>
        <v>0</v>
      </c>
      <c r="F18" s="12"/>
      <c r="G18" s="11"/>
    </row>
    <row r="19" spans="1:7" ht="33.75" customHeight="1" x14ac:dyDescent="0.25">
      <c r="A19" s="8" t="s">
        <v>471</v>
      </c>
      <c r="B19" s="25" t="s">
        <v>784</v>
      </c>
      <c r="C19" s="19"/>
      <c r="D19" s="19"/>
      <c r="E19" s="20">
        <f>-(Tabla278[[#This Row],[STOCK ACTUAL]]-Tabla278[[#This Row],[CONSUMO MENSUAL]]*1.15)</f>
        <v>0</v>
      </c>
      <c r="F19" s="12"/>
      <c r="G19" s="11"/>
    </row>
    <row r="20" spans="1:7" ht="33.75" customHeight="1" x14ac:dyDescent="0.25">
      <c r="A20" s="8" t="s">
        <v>471</v>
      </c>
      <c r="B20" s="25" t="s">
        <v>785</v>
      </c>
      <c r="C20" s="19"/>
      <c r="D20" s="19"/>
      <c r="E20" s="20">
        <f>-(Tabla278[[#This Row],[STOCK ACTUAL]]-Tabla278[[#This Row],[CONSUMO MENSUAL]]*1.15)</f>
        <v>0</v>
      </c>
      <c r="F20" s="12"/>
      <c r="G20" s="11"/>
    </row>
    <row r="21" spans="1:7" ht="33.75" customHeight="1" x14ac:dyDescent="0.25">
      <c r="A21" s="8" t="s">
        <v>471</v>
      </c>
      <c r="B21" s="25" t="s">
        <v>786</v>
      </c>
      <c r="C21" s="19"/>
      <c r="D21" s="19"/>
      <c r="E21" s="20">
        <f>-(Tabla278[[#This Row],[STOCK ACTUAL]]-Tabla278[[#This Row],[CONSUMO MENSUAL]]*1.15)</f>
        <v>0</v>
      </c>
      <c r="F21" s="12"/>
      <c r="G21" s="11"/>
    </row>
    <row r="22" spans="1:7" ht="33.75" customHeight="1" x14ac:dyDescent="0.25">
      <c r="A22" s="8" t="s">
        <v>471</v>
      </c>
      <c r="B22" s="25" t="s">
        <v>787</v>
      </c>
      <c r="C22" s="19"/>
      <c r="D22" s="19"/>
      <c r="E22" s="20">
        <f>-(Tabla278[[#This Row],[STOCK ACTUAL]]-Tabla278[[#This Row],[CONSUMO MENSUAL]]*1.15)</f>
        <v>0</v>
      </c>
      <c r="F22" s="12"/>
      <c r="G22" s="11"/>
    </row>
    <row r="23" spans="1:7" ht="27.75" customHeight="1" x14ac:dyDescent="0.25">
      <c r="A23" s="8" t="s">
        <v>471</v>
      </c>
      <c r="B23" s="25" t="s">
        <v>788</v>
      </c>
      <c r="C23" s="19"/>
      <c r="D23" s="19"/>
      <c r="E23" s="20">
        <f>-(Tabla278[[#This Row],[STOCK ACTUAL]]-Tabla278[[#This Row],[CONSUMO MENSUAL]]*1.15)</f>
        <v>0</v>
      </c>
      <c r="F23" s="12"/>
      <c r="G23" s="11"/>
    </row>
    <row r="24" spans="1:7" ht="33.75" customHeight="1" x14ac:dyDescent="0.25">
      <c r="A24" s="8" t="s">
        <v>471</v>
      </c>
      <c r="B24" s="25" t="s">
        <v>789</v>
      </c>
      <c r="C24" s="19"/>
      <c r="D24" s="19"/>
      <c r="E24" s="20">
        <f>-(Tabla278[[#This Row],[STOCK ACTUAL]]-Tabla278[[#This Row],[CONSUMO MENSUAL]]*1.15)</f>
        <v>0</v>
      </c>
      <c r="F24" s="12"/>
      <c r="G24" s="11"/>
    </row>
    <row r="25" spans="1:7" ht="26.25" customHeight="1" x14ac:dyDescent="0.25">
      <c r="A25" s="8" t="s">
        <v>471</v>
      </c>
      <c r="B25" s="25" t="s">
        <v>790</v>
      </c>
      <c r="C25" s="19"/>
      <c r="D25" s="19"/>
      <c r="E25" s="20">
        <f>-(Tabla278[[#This Row],[STOCK ACTUAL]]-Tabla278[[#This Row],[CONSUMO MENSUAL]]*1.15)</f>
        <v>0</v>
      </c>
      <c r="F25" s="12"/>
      <c r="G25" s="11"/>
    </row>
    <row r="26" spans="1:7" ht="26.25" customHeight="1" x14ac:dyDescent="0.25">
      <c r="A26" s="8" t="s">
        <v>471</v>
      </c>
      <c r="B26" s="25" t="s">
        <v>791</v>
      </c>
      <c r="C26" s="19"/>
      <c r="D26" s="19"/>
      <c r="E26" s="20">
        <f>-(Tabla278[[#This Row],[STOCK ACTUAL]]-Tabla278[[#This Row],[CONSUMO MENSUAL]]*1.15)</f>
        <v>0</v>
      </c>
      <c r="F26" s="12"/>
      <c r="G26" s="11"/>
    </row>
    <row r="27" spans="1:7" ht="26.25" customHeight="1" x14ac:dyDescent="0.25">
      <c r="A27" s="8" t="s">
        <v>471</v>
      </c>
      <c r="B27" s="25" t="s">
        <v>792</v>
      </c>
      <c r="C27" s="19"/>
      <c r="D27" s="19"/>
      <c r="E27" s="20">
        <f>-(Tabla278[[#This Row],[STOCK ACTUAL]]-Tabla278[[#This Row],[CONSUMO MENSUAL]]*1.15)</f>
        <v>0</v>
      </c>
      <c r="F27" s="12"/>
      <c r="G27" s="11"/>
    </row>
    <row r="28" spans="1:7" ht="26.25" customHeight="1" x14ac:dyDescent="0.25">
      <c r="A28" s="8" t="s">
        <v>471</v>
      </c>
      <c r="B28" s="25" t="s">
        <v>793</v>
      </c>
      <c r="C28" s="19"/>
      <c r="D28" s="19"/>
      <c r="E28" s="20">
        <f>-(Tabla278[[#This Row],[STOCK ACTUAL]]-Tabla278[[#This Row],[CONSUMO MENSUAL]]*1.15)</f>
        <v>0</v>
      </c>
      <c r="F28" s="12"/>
      <c r="G28" s="11"/>
    </row>
    <row r="29" spans="1:7" ht="26.25" customHeight="1" x14ac:dyDescent="0.25">
      <c r="A29" s="8" t="s">
        <v>471</v>
      </c>
      <c r="B29" s="25" t="s">
        <v>794</v>
      </c>
      <c r="C29" s="19"/>
      <c r="D29" s="19"/>
      <c r="E29" s="20">
        <f>-(Tabla278[[#This Row],[STOCK ACTUAL]]-Tabla278[[#This Row],[CONSUMO MENSUAL]]*1.15)</f>
        <v>0</v>
      </c>
      <c r="F29" s="12"/>
      <c r="G29" s="11"/>
    </row>
    <row r="30" spans="1:7" ht="15" customHeight="1" x14ac:dyDescent="0.25">
      <c r="A30" s="17"/>
      <c r="B30" s="18"/>
      <c r="C30" s="19"/>
      <c r="D30" s="19"/>
      <c r="E30" s="20">
        <f>-(Tabla278[[#This Row],[STOCK ACTUAL]]-Tabla278[[#This Row],[CONSUMO MENSUAL]]*1.15)</f>
        <v>0</v>
      </c>
      <c r="F30" s="12"/>
      <c r="G30" s="11"/>
    </row>
    <row r="31" spans="1:7" ht="15" customHeight="1" x14ac:dyDescent="0.25">
      <c r="A31" s="17"/>
      <c r="B31" s="18"/>
      <c r="C31" s="19"/>
      <c r="D31" s="19"/>
      <c r="E31" s="20">
        <f>-(Tabla278[[#This Row],[STOCK ACTUAL]]-Tabla278[[#This Row],[CONSUMO MENSUAL]]*1.15)</f>
        <v>0</v>
      </c>
      <c r="F31" s="12"/>
      <c r="G31" s="11"/>
    </row>
    <row r="32" spans="1:7" ht="15" customHeight="1" x14ac:dyDescent="0.25">
      <c r="A32" s="17"/>
      <c r="B32" s="18"/>
      <c r="C32" s="19"/>
      <c r="D32" s="19"/>
      <c r="E32" s="20">
        <f>-(Tabla278[[#This Row],[STOCK ACTUAL]]-Tabla278[[#This Row],[CONSUMO MENSUAL]]*1.15)</f>
        <v>0</v>
      </c>
      <c r="F32" s="12"/>
      <c r="G32" s="11"/>
    </row>
    <row r="33" spans="1:7" ht="15" customHeight="1" x14ac:dyDescent="0.25">
      <c r="A33" s="17"/>
      <c r="B33" s="18"/>
      <c r="C33" s="19"/>
      <c r="D33" s="19"/>
      <c r="E33" s="20">
        <f>-(Tabla278[[#This Row],[STOCK ACTUAL]]-Tabla278[[#This Row],[CONSUMO MENSUAL]]*1.15)</f>
        <v>0</v>
      </c>
      <c r="F33" s="12"/>
      <c r="G33" s="11"/>
    </row>
    <row r="34" spans="1:7" ht="15" customHeight="1" x14ac:dyDescent="0.25">
      <c r="A34" s="17"/>
      <c r="B34" s="18"/>
      <c r="C34" s="19"/>
      <c r="D34" s="19"/>
      <c r="E34" s="20">
        <f>-(Tabla278[[#This Row],[STOCK ACTUAL]]-Tabla278[[#This Row],[CONSUMO MENSUAL]]*1.15)</f>
        <v>0</v>
      </c>
      <c r="F34" s="12"/>
      <c r="G34" s="11"/>
    </row>
  </sheetData>
  <sheetProtection algorithmName="SHA-512" hashValue="YQkF/HPl68okvYkaQwMAh4qUeDBYoplc+jYDXR9LVHtXW02N1Evco8d+EiYicLQbuw2O/Qe8hJoLO9HyT55y9A==" saltValue="WMDU2woCRDTrSgSZjDrGYw==" spinCount="100000" sheet="1" autoFilter="0"/>
  <protectedRanges>
    <protectedRange sqref="C6:D34 F6:F34" name="Rango2_1"/>
    <protectedRange sqref="F2:G3" name="Rango1_2"/>
  </protectedRanges>
  <mergeCells count="4">
    <mergeCell ref="A1:A4"/>
    <mergeCell ref="B2:D3"/>
    <mergeCell ref="F2:G2"/>
    <mergeCell ref="F3:G3"/>
  </mergeCells>
  <conditionalFormatting sqref="E6:E34">
    <cfRule type="cellIs" dxfId="0" priority="1" operator="lessThan">
      <formula>0</formula>
    </cfRule>
  </conditionalFormatting>
  <dataValidations count="3">
    <dataValidation type="date" operator="greaterThanOrEqual" allowBlank="1" showInputMessage="1" showErrorMessage="1" error="Fecha mal _x000a_ingresada_x000a_(00-00-2024)" sqref="F3:G3" xr:uid="{00000000-0002-0000-0400-000000000000}">
      <formula1>45352</formula1>
    </dataValidation>
    <dataValidation type="whole" allowBlank="1" showInputMessage="1" showErrorMessage="1" error="¡¡¡¡¡¡....Ingresar_x000a_solo_x000a_ numeros...!!!!!!!" sqref="C6:D34 F6:G34" xr:uid="{00000000-0002-0000-0400-000001000000}">
      <formula1>0</formula1>
      <formula2>500000</formula2>
    </dataValidation>
    <dataValidation type="list" allowBlank="1" showInputMessage="1" showErrorMessage="1" error="¡¡¡¡¡¡¡¡  HERRORRR   SOLO_x000a_ DATOS DE LA LISTA !!!!!!" prompt="¡¡.....  INGRESE _x000a_DATOS_x000a_DE LA LISTA ...!!" sqref="F2:G2" xr:uid="{00000000-0002-0000-0400-000002000000}">
      <formula1>$J$1:$J$11</formula1>
    </dataValidation>
  </dataValidations>
  <pageMargins left="0.31496062992125984" right="0" top="0.35433070866141736" bottom="0.35433070866141736" header="0.31496062992125984" footer="0.31496062992125984"/>
  <pageSetup scale="80" orientation="landscape" r:id="rId1"/>
  <colBreaks count="1" manualBreakCount="1">
    <brk id="7" max="1048575" man="1"/>
  </colBreaks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10</vt:i4>
      </vt:variant>
    </vt:vector>
  </HeadingPairs>
  <TitlesOfParts>
    <vt:vector size="15" baseType="lpstr">
      <vt:lpstr>MEDICAMENTOS</vt:lpstr>
      <vt:lpstr>INSUMOS</vt:lpstr>
      <vt:lpstr>DENTAL</vt:lpstr>
      <vt:lpstr>CURACIONES</vt:lpstr>
      <vt:lpstr>PATERNIDAD</vt:lpstr>
      <vt:lpstr>CURACIONES!Área_de_impresión</vt:lpstr>
      <vt:lpstr>DENTAL!Área_de_impresión</vt:lpstr>
      <vt:lpstr>INSUMOS!Área_de_impresión</vt:lpstr>
      <vt:lpstr>MEDICAMENTOS!Área_de_impresión</vt:lpstr>
      <vt:lpstr>PATERNIDAD!Área_de_impresión</vt:lpstr>
      <vt:lpstr>CURACIONES!Títulos_a_imprimir</vt:lpstr>
      <vt:lpstr>DENTAL!Títulos_a_imprimir</vt:lpstr>
      <vt:lpstr>INSUMOS!Títulos_a_imprimir</vt:lpstr>
      <vt:lpstr>MEDICAMENTOS!Títulos_a_imprimir</vt:lpstr>
      <vt:lpstr>PATERNIDAD!Títulos_a_imprimir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cp:keywords/>
  <dc:description/>
  <cp:lastModifiedBy>Usuario</cp:lastModifiedBy>
  <cp:revision/>
  <cp:lastPrinted>2025-07-21T12:07:51Z</cp:lastPrinted>
  <dcterms:created xsi:type="dcterms:W3CDTF">2022-12-07T11:35:25Z</dcterms:created>
  <dcterms:modified xsi:type="dcterms:W3CDTF">2026-09-10T13:48:08Z</dcterms:modified>
  <cp:category/>
  <cp:contentStatus/>
</cp:coreProperties>
</file>