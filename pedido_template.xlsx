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296d48ab0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MENTOS" sheetId="12" r:id="R3637307498d64d18"/>
    <x:sheet xmlns:r="http://schemas.openxmlformats.org/officeDocument/2006/relationships" name="INSUMOS" sheetId="2" r:id="R6c2bc3ddc37d4b79"/>
    <x:sheet xmlns:r="http://schemas.openxmlformats.org/officeDocument/2006/relationships" name="DENTAL" sheetId="11" r:id="R342a844010754546"/>
    <x:sheet xmlns:r="http://schemas.openxmlformats.org/officeDocument/2006/relationships" name="CURACIONES" sheetId="9" r:id="R9259a4e2ec3d4d58"/>
    <x:sheet xmlns:r="http://schemas.openxmlformats.org/officeDocument/2006/relationships" name="PATERNIDAD" sheetId="13" r:id="Rae5aec5af52a4f95"/>
  </x:sheets>
</x:workbook>
</file>

<file path=xl/sharedStrings.xml><?xml version="1.0" encoding="utf-8"?>
<x:sst xmlns:x="http://schemas.openxmlformats.org/spreadsheetml/2006/main">
  <x:si>
    <x:t xml:space="preserve">Cesfam San Joaquin</x:t>
  </x:si>
  <x:si>
    <x:t xml:space="preserve">Pedidos a Bodega comunal </x:t>
  </x:si>
  <x:si>
    <x:t xml:space="preserve">Establecimiento:</x:t>
  </x:si>
  <x:si>
    <x:t xml:space="preserve">Cesfam Arturo Baeza G.</x:t>
  </x:si>
  <x:si>
    <x:t xml:space="preserve">Cesfam Sor Teresa</x:t>
  </x:si>
  <x:si>
    <x:t xml:space="preserve">Fecha:</x:t>
  </x:si>
  <x:si>
    <x:t xml:space="preserve">Cecof U.V. 14 R. Javier Perot</x:t>
  </x:si>
  <x:si>
    <x:t xml:space="preserve">TIPO</x:t>
  </x:si>
  <x:si>
    <x:t xml:space="preserve">PRODUCTO</x:t>
  </x:si>
  <x:si>
    <x:t xml:space="preserve">CONSUMO MENSUAL</x:t>
  </x:si>
  <x:si>
    <x:t xml:space="preserve">STOCK ACTUAL</x:t>
  </x:si>
  <x:si>
    <x:t xml:space="preserve">SOLICITUD TEORICA</x:t>
  </x:si>
  <x:si>
    <x:t xml:space="preserve">SOLICITUD REAL</x:t>
  </x:si>
  <x:si>
    <x:t xml:space="preserve">ENTREGA DE BODEGA</x:t>
  </x:si>
  <x:si>
    <x:t xml:space="preserve">Cecof U.V. 24  Sierra Bella</x:t>
  </x:si>
  <x:si>
    <x:t xml:space="preserve">MEDICAMENTO</x:t>
  </x:si>
  <x:si>
    <x:t xml:space="preserve">Acenocumarol 4 mg  COMPRIMIDOS</x:t>
  </x:si>
  <x:si>
    <x:t xml:space="preserve">Cecof Sec. 1 Coñimo</x:t>
  </x:si>
  <x:si>
    <x:t xml:space="preserve">UAPO</x:t>
  </x:si>
  <x:si>
    <x:t xml:space="preserve">Acetazolamida  250mg  COMPRIMIDOS</x:t>
  </x:si>
  <x:si>
    <x:t xml:space="preserve">Cecof Sec. 5 Salvador Allende</x:t>
  </x:si>
  <x:si>
    <x:t xml:space="preserve">Aciclovir Comprimidos 400 Mg   Comprimidos</x:t>
  </x:si>
  <x:si>
    <x:t xml:space="preserve">Cecof Martinez Henriquez</x:t>
  </x:si>
  <x:si>
    <x:t xml:space="preserve">Aciclovir Crema Dermica 5% (15 g)   Crema</x:t>
  </x:si>
  <x:si>
    <x:t xml:space="preserve">Cesam San Joaquin</x:t>
  </x:si>
  <x:si>
    <x:t xml:space="preserve">FOFAR</x:t>
  </x:si>
  <x:si>
    <x:t xml:space="preserve">Acido Acetilsalicilico   100 mg  COMPRIMIDOS</x:t>
  </x:si>
  <x:si>
    <x:t xml:space="preserve">S.A.P.U.  Sor teresa</x:t>
  </x:si>
  <x:si>
    <x:t xml:space="preserve">Acido Folico  1 mg  COMPRIMIDOS</x:t>
  </x:si>
  <x:si>
    <x:t xml:space="preserve">S.A.R.  San Joaquin</x:t>
  </x:si>
  <x:si>
    <x:t xml:space="preserve">Acido Folico 0,4 mg.  Comprimidos</x:t>
  </x:si>
  <x:si>
    <x:t xml:space="preserve">Acido Folico 5 mg Comprimidos   Comprimidos</x:t>
  </x:si>
  <x:si>
    <x:t xml:space="preserve">INYECTABLE</x:t>
  </x:si>
  <x:si>
    <x:t xml:space="preserve">ACIDO TRANEXAMICO  1G/10ML  AMPOLLAS</x:t>
  </x:si>
  <x:si>
    <x:t xml:space="preserve">CESAM</x:t>
  </x:si>
  <x:si>
    <x:t xml:space="preserve">Acido Valproico  500 mg   COMPRIMIDOS</x:t>
  </x:si>
  <x:si>
    <x:t xml:space="preserve">Prog. Ministerial</x:t>
  </x:si>
  <x:si>
    <x:t xml:space="preserve">Acido Valproico 250 mg/5ml Jbe.</x:t>
  </x:si>
  <x:si>
    <x:t xml:space="preserve">Acido Valproico Comprimidos Recubiertos 200 Mg</x:t>
  </x:si>
  <x:si>
    <x:t xml:space="preserve">Acido Valp. Gotas Orales 300 mg/ ml fco. 25 ml (Atemperator)</x:t>
  </x:si>
  <x:si>
    <x:t xml:space="preserve">Acido Valp. Liberación Prolongada 500 mg  Cm.</x:t>
  </x:si>
  <x:si>
    <x:t xml:space="preserve">TELEDERMATOLOGIA</x:t>
  </x:si>
  <x:si>
    <x:t xml:space="preserve">Adapaleno  0,1 %  Gel Topico  30g.  ud</x:t>
  </x:si>
  <x:si>
    <x:t xml:space="preserve">Adapaleno  0,3 %  Gel Topico  30g.  ud</x:t>
  </x:si>
  <x:si>
    <x:t xml:space="preserve">Adenosina ampollas 6mg/2 ml</x:t>
  </x:si>
  <x:si>
    <x:t xml:space="preserve">INSUMO</x:t>
  </x:si>
  <x:si>
    <x:t xml:space="preserve">Agua Esteril para Inyectables 10ml  AMPOLLAS</x:t>
  </x:si>
  <x:si>
    <x:t xml:space="preserve">Agua Esteril para Inyectables 20ml Ampolla</x:t>
  </x:si>
  <x:si>
    <x:t xml:space="preserve">Alopurinol 100 mg Cm.   Comprimidos</x:t>
  </x:si>
  <x:si>
    <x:t xml:space="preserve">Aluminio Hidróxido 6% gel   FRASCOS</x:t>
  </x:si>
  <x:si>
    <x:t xml:space="preserve">Amikacina 500mg/2ml  AMPOLLAS</x:t>
  </x:si>
  <x:si>
    <x:t xml:space="preserve">AMINOFILINA 250MG/10ML   FRASCOS</x:t>
  </x:si>
  <x:si>
    <x:t xml:space="preserve">Amiodarona Clorhidrato Solucion Inyectable 150 Mg/ 3 Ml Amp.</x:t>
  </x:si>
  <x:si>
    <x:t xml:space="preserve">Amitriptilina Clorhidrato 25 mg  Cm.</x:t>
  </x:si>
  <x:si>
    <x:t xml:space="preserve">Amlodipino  10 mg  COMPRIMIDOS</x:t>
  </x:si>
  <x:si>
    <x:t xml:space="preserve">Amlodipino 5 mg   COMPRIMIDOS</x:t>
  </x:si>
  <x:si>
    <x:t xml:space="preserve">Amoxicilina  500 mg  CAPSULAS</x:t>
  </x:si>
  <x:si>
    <x:t xml:space="preserve">Amoxicilina Con Acido Clavulanico  500 / 125mg  Cm.</x:t>
  </x:si>
  <x:si>
    <x:t xml:space="preserve">Amoxicilina Con Acido Clavulanico 400 mg./57 mg. Jbe. 5 ml.Frco.</x:t>
  </x:si>
  <x:si>
    <x:t xml:space="preserve">Amoxicilina Polvo P/Susp.Oral  500 mg/5 ml (60 ml)  JARABE</x:t>
  </x:si>
  <x:si>
    <x:t xml:space="preserve">Anfebutamona 150 mg LIB Prolongada 150 mg   COMPRIMIDOS</x:t>
  </x:si>
  <x:si>
    <x:t xml:space="preserve">Antiespasmodico Adulto Sup. (Abalgin sup. Adu.))  </x:t>
  </x:si>
  <x:si>
    <x:t xml:space="preserve">Aripiprazol  10 mg  COMPRIMIDOS</x:t>
  </x:si>
  <x:si>
    <x:t xml:space="preserve">Atenolol  50 mg  COMPRIMIDOS</x:t>
  </x:si>
  <x:si>
    <x:t xml:space="preserve">Atorvastatina  20 mg  COMPRIMIDOS</x:t>
  </x:si>
  <x:si>
    <x:t xml:space="preserve">Atorvastatina 10 mg  Cm</x:t>
  </x:si>
  <x:si>
    <x:t xml:space="preserve">Atropina Sulfato Solucion Inyectable 1 Mg/Ml (amp)</x:t>
  </x:si>
  <x:si>
    <x:t xml:space="preserve">Azitromicina 400 mg / 5 Ml Fco.</x:t>
  </x:si>
  <x:si>
    <x:t xml:space="preserve">Azitromicina 500 mg   COMPRIMIDOS</x:t>
  </x:si>
  <x:si>
    <x:t xml:space="preserve">Betametasona  0,1 % Sol. Oft. Gotas Esteril  10 ml  Fco</x:t>
  </x:si>
  <x:si>
    <x:t xml:space="preserve">Betametasona Crema Dérmica  0,05% (15 gr)  CREMA</x:t>
  </x:si>
  <x:si>
    <x:t xml:space="preserve">Betametasona Solucion Inyectable 4 Mg/Ml (amp)</x:t>
  </x:si>
  <x:si>
    <x:t xml:space="preserve">Betaxolol 0,5 % Sol. Oft. 5 ml ud.   Unidad</x:t>
  </x:si>
  <x:si>
    <x:t xml:space="preserve">BICARBONATO DE SODIO 8.4% 10ML  AMPOLLAS</x:t>
  </x:si>
  <x:si>
    <x:t xml:space="preserve">Brimonidina 0.2% 5ml  FRASCOS</x:t>
  </x:si>
  <x:si>
    <x:t xml:space="preserve">Brinzolamida / Tartrato de Brimonidina  10mg. 2mgml (5ml)  ud.</x:t>
  </x:si>
  <x:si>
    <x:t xml:space="preserve">Brinzolamida 1 %   5 ml   FRASCOS</x:t>
  </x:si>
  <x:si>
    <x:t xml:space="preserve">Bromuro de Ipratr. 0,25 mg + Fenoterol 0,5 mg sol. inhalación   Fco</x:t>
  </x:si>
  <x:si>
    <x:t xml:space="preserve">Bromuro De Ipratr. Aerosol Para Inhalacion 20 Mcg/Dosis (200 dos)</x:t>
  </x:si>
  <x:si>
    <x:t xml:space="preserve">Budesonida Adultos Aerosol  Inhalacion 200 Mcg/Dosis (200 dos)</x:t>
  </x:si>
  <x:si>
    <x:t xml:space="preserve">Captopril Comprimidos 25 Mg   Comprimidos</x:t>
  </x:si>
  <x:si>
    <x:t xml:space="preserve">Carbamazepina  200 mg  Cm.</x:t>
  </x:si>
  <x:si>
    <x:t xml:space="preserve">Carbamazepina Liberación Prolongada 400 mg  Cm.</x:t>
  </x:si>
  <x:si>
    <x:t xml:space="preserve">Carbomer 0,04 mg (Lacryvisc) 10 gr  GEL</x:t>
  </x:si>
  <x:si>
    <x:t xml:space="preserve">Carbonato De Litio Comprimidos 300 Mg</x:t>
  </x:si>
  <x:si>
    <x:t xml:space="preserve">Carvedilol  12,5 mg   COMPRIMIDOS</x:t>
  </x:si>
  <x:si>
    <x:t xml:space="preserve">Carvedilol  25mg   COMPRIMIDOS</x:t>
  </x:si>
  <x:si>
    <x:t xml:space="preserve">Carvedilol 6,25 mg Comprimidos</x:t>
  </x:si>
  <x:si>
    <x:t xml:space="preserve">Cefadroxilo 500 mg Capsulas</x:t>
  </x:si>
  <x:si>
    <x:t xml:space="preserve">Cefadroxilo Polvo Para Susp. Oral 250 Mg/5 Ml (60 ml)Fco.</x:t>
  </x:si>
  <x:si>
    <x:t xml:space="preserve">Ceftriaxona 1 gr  FRASCOS</x:t>
  </x:si>
  <x:si>
    <x:t xml:space="preserve">Celecoxib Capsulas 200 Mg</x:t>
  </x:si>
  <x:si>
    <x:t xml:space="preserve">Cetirizina 5 mg/5ml (60ml) JARABE Fco.</x:t>
  </x:si>
  <x:si>
    <x:t xml:space="preserve">Cianocobalamina 1000 mcg/ml ampollas</x:t>
  </x:si>
  <x:si>
    <x:t xml:space="preserve">Ciclobenzaprina Clorhidrato 10 Mg Cm. Recubiertos</x:t>
  </x:si>
  <x:si>
    <x:t xml:space="preserve">Ciclopentolato Clorhidrato  1% 15ml  GOTAS</x:t>
  </x:si>
  <x:si>
    <x:t xml:space="preserve">Ciclopiroxolamina 1% Crema Dermica  30g ud</x:t>
  </x:si>
  <x:si>
    <x:t xml:space="preserve">Ciprofloxacino Comprimidos Recubiertos 500 Mg   Cm.</x:t>
  </x:si>
  <x:si>
    <x:t xml:space="preserve">Citalopram Comprimidos Recubiertos 20 Mg</x:t>
  </x:si>
  <x:si>
    <x:t xml:space="preserve">Claritromicina Comprimidos Recubiertos 500 Mg   Cm.</x:t>
  </x:si>
  <x:si>
    <x:t xml:space="preserve">Claritromicina Polvo Gran. Para Susp. Oral 250 Mg/5 Ml (80 ml)Fco.</x:t>
  </x:si>
  <x:si>
    <x:t xml:space="preserve">Clindamicina 300 mg   COMPRIMIDOS</x:t>
  </x:si>
  <x:si>
    <x:t xml:space="preserve">Clobetasol Propionato 0,05% 25g Crema Topica Ud.</x:t>
  </x:si>
  <x:si>
    <x:t xml:space="preserve">Clofazimina  100 mg  CAPSULAS</x:t>
  </x:si>
  <x:si>
    <x:t xml:space="preserve">CLOMIPRAMINA 75 MG Cm.</x:t>
  </x:si>
  <x:si>
    <x:t xml:space="preserve">Clopidogrel 75 mg comprimidos   Comprimidos</x:t>
  </x:si>
  <x:si>
    <x:t xml:space="preserve">Cloranfenicol Solución Oftálmica  10 ml  FRASCOS</x:t>
  </x:si>
  <x:si>
    <x:t xml:space="preserve">Cloranfenicol Unguento Oftalmico 1% (3,5 gr)  POMO</x:t>
  </x:si>
  <x:si>
    <x:t xml:space="preserve">Clorfenamina Maleato Comprimidos Recubiertos 4 Mg   Cm.</x:t>
  </x:si>
  <x:si>
    <x:t xml:space="preserve">Clorfenamina Maleato Solucion Inyectable 10 Mg/Ml ( amp)</x:t>
  </x:si>
  <x:si>
    <x:t xml:space="preserve">Clorpromazina Clorhidrato Comprimidos 100 Mg   Comprimidos</x:t>
  </x:si>
  <x:si>
    <x:t xml:space="preserve">Clorpromazina Clorhidrato Solucion Inyectable 25 Mg/2 Ml (amp)</x:t>
  </x:si>
  <x:si>
    <x:t xml:space="preserve">Clotrimazol 500 Mg    OVULOS</x:t>
  </x:si>
  <x:si>
    <x:t xml:space="preserve">Clotrimazol Crema Topica 1%   Comprimidos</x:t>
  </x:si>
  <x:si>
    <x:t xml:space="preserve">Cloxacilina Comprimidos Recubiertos 500 Mg   Comprimidos</x:t>
  </x:si>
  <x:si>
    <x:t xml:space="preserve">Clozapina  100 mg  COMPRIMIDOS</x:t>
  </x:si>
  <x:si>
    <x:t xml:space="preserve">Cotrimoxazol 240mg / 5 ml Suspension Oral (50 ml)   Frasco</x:t>
  </x:si>
  <x:si>
    <x:t xml:space="preserve">Cotrimoxazol Comprimidos Forte 800 +160 mg.   Comprimidos</x:t>
  </x:si>
  <x:si>
    <x:t xml:space="preserve">Crema Corporal Humectante Con UREA 10% 400ml fco.</x:t>
  </x:si>
  <x:si>
    <x:t xml:space="preserve">Cycloserine   250 mg.  Capsulas</x:t>
  </x:si>
  <x:si>
    <x:t xml:space="preserve">Desloratadina (Ira-Era) 5 mg  COMPRIMIDOS</x:t>
  </x:si>
  <x:si>
    <x:t xml:space="preserve">Desloratadina 2,5mg / 5ml  Jbe</x:t>
  </x:si>
  <x:si>
    <x:t xml:space="preserve">Dexametasona Solución Inyectable 4 mg/mL   AMPOLLAS</x:t>
  </x:si>
  <x:si>
    <x:t xml:space="preserve">Diclofenaco Sodico  50 mg  COMPRIMIDOS</x:t>
  </x:si>
  <x:si>
    <x:t xml:space="preserve">Diclofenaco Sodico Solucion Inyectable 75 Mg/3 Ml (amp)</x:t>
  </x:si>
  <x:si>
    <x:t xml:space="preserve">Diclofenaco Sodico Supositorios Infantil 12,5 Mg   Sup.</x:t>
  </x:si>
  <x:si>
    <x:t xml:space="preserve">Digoxina  0,25 mg  COMPRIMIDOS</x:t>
  </x:si>
  <x:si>
    <x:t xml:space="preserve">Disulfiramo Comprimidos 500 Mg   Comprimidos</x:t>
  </x:si>
  <x:si>
    <x:t xml:space="preserve">Domperidona 1 mg / ml. Gotas   Frasco</x:t>
  </x:si>
  <x:si>
    <x:t xml:space="preserve">Domperidona 10 mg Cm.   Comprimidos</x:t>
  </x:si>
  <x:si>
    <x:t xml:space="preserve">Donepezilo 10 mg. Recubierto Cm.</x:t>
  </x:si>
  <x:si>
    <x:t xml:space="preserve">Dopamina Clorhidrato 200mg/5ml  AMPOLLAS</x:t>
  </x:si>
  <x:si>
    <x:t xml:space="preserve">Dorzolamida 20 mg. + Timolol 5 mg.    FRASCOS</x:t>
  </x:si>
  <x:si>
    <x:t xml:space="preserve">Dorzolamida 20 MG. 2 % Sol. Oft. Esteril 5 ml ud.</x:t>
  </x:si>
  <x:si>
    <x:t xml:space="preserve">Doxiciclina 100 mg.    CAPSULAS</x:t>
  </x:si>
  <x:si>
    <x:t xml:space="preserve">Duloxetina  con Granulos Con Recub. Enterico 30 Mg.   Cap.</x:t>
  </x:si>
  <x:si>
    <x:t xml:space="preserve">Dutasterida / Tamsulosina Clorhidrato 0,5 mg/0,4 mg Cap.   Cap.</x:t>
  </x:si>
  <x:si>
    <x:t xml:space="preserve">Enalapril Maleato Comprimidos Recubiertos  10 mg  Cm.</x:t>
  </x:si>
  <x:si>
    <x:t xml:space="preserve">Enema fosfato adulto   FRASCOS</x:t>
  </x:si>
  <x:si>
    <x:t xml:space="preserve">Epinefrina Solucion Inyectable 1 Mg/1 Ml (amp)</x:t>
  </x:si>
  <x:si>
    <x:t xml:space="preserve">Eritromicina Comprimidos Recubiertos 500 Mg   Cm.</x:t>
  </x:si>
  <x:si>
    <x:t xml:space="preserve">Eritromicina Polvo P/ Suspension Oral 200 Mg/5 Ml   Frasco</x:t>
  </x:si>
  <x:si>
    <x:t xml:space="preserve">Espironolactona Comprimidos 25 Mg</x:t>
  </x:si>
  <x:si>
    <x:t xml:space="preserve">Estreptomicina F. A. 1 G Amp.   Ampollas</x:t>
  </x:si>
  <x:si>
    <x:t xml:space="preserve">Eszopiclona Comprimidos Recubiertos 3 mg  COMPRIMIDOS</x:t>
  </x:si>
  <x:si>
    <x:t xml:space="preserve">Etambutol  400 mg  COMPRIMIDOS</x:t>
  </x:si>
  <x:si>
    <x:t xml:space="preserve">Etambutol 200 mg Cm.</x:t>
  </x:si>
  <x:si>
    <x:t xml:space="preserve">Famotidina  40 mg  COMPRIMIDOS</x:t>
  </x:si>
  <x:si>
    <x:t xml:space="preserve">Famotidina Solucion Inyectable 20 mg/2ml Ampolla</x:t>
  </x:si>
  <x:si>
    <x:t xml:space="preserve">Fase 1.Diaria Rifamp. 150/Pirazina. 400/Isoniaz. 75/Etamb. 275 Cm</x:t>
  </x:si>
  <x:si>
    <x:t xml:space="preserve">Fase 2.Trisemanal Rifampicina 150/Isoniazida 150 Cm</x:t>
  </x:si>
  <x:si>
    <x:t xml:space="preserve">Fase 2.Trisemanal Rifampicina 150/Isoniazida 75 Cm</x:t>
  </x:si>
  <x:si>
    <x:t xml:space="preserve">Fenilefrina 2,5%  Solución Oftalmica Estéril 5ml Fco. Ud.</x:t>
  </x:si>
  <x:si>
    <x:t xml:space="preserve">Fenitoina Sodica  100 mg  COMPRIMIDOS</x:t>
  </x:si>
  <x:si>
    <x:t xml:space="preserve">Flucloxacilina  500 mg  CAPSULAS</x:t>
  </x:si>
  <x:si>
    <x:t xml:space="preserve">Flucloxacilina Polvo Para Jarabe 250 mg/5ml (60ml)  FRASCOS</x:t>
  </x:si>
  <x:si>
    <x:t xml:space="preserve">Fluconazol 150 mgs. Caps.</x:t>
  </x:si>
  <x:si>
    <x:t xml:space="preserve">Flufenazina Decanoato 250 Mg/10 Ml Solucion Inyectable (modecate)</x:t>
  </x:si>
  <x:si>
    <x:t xml:space="preserve">Flujometro Con Regulador  Ud.</x:t>
  </x:si>
  <x:si>
    <x:t xml:space="preserve">Flumazenil 0,5 mg/ 5ml Sol. Inyectable Via Intravenosa Amp.</x:t>
  </x:si>
  <x:si>
    <x:t xml:space="preserve">Fluoxetina Clorhidrato 20 Mg  Comprimidos</x:t>
  </x:si>
  <x:si>
    <x:t xml:space="preserve">Fluticasona 125 mcg Do Inhalador</x:t>
  </x:si>
  <x:si>
    <x:t xml:space="preserve">Fluticasona/Salmeterol 125 mcg/25 ug Do Inhalador</x:t>
  </x:si>
  <x:si>
    <x:t xml:space="preserve">Fluticasona/Salmeterol 250 mcg/25 ug Do Inhalador</x:t>
  </x:si>
  <x:si>
    <x:t xml:space="preserve">Fumarato Ferroso 330 mg Cap. Con Granulos Con Hierro De Liber. Prolon. (Folifer)</x:t>
  </x:si>
  <x:si>
    <x:t xml:space="preserve">Furosemida  40 mg  COMPRIMIDOS</x:t>
  </x:si>
  <x:si>
    <x:t xml:space="preserve">Furosemida Solucion Inyectable 20 Mg/1 Ml (amp)</x:t>
  </x:si>
  <x:si>
    <x:t xml:space="preserve">Gemfibrozilo Comprimidos Recubiertos 600 Mg   Comprimidos</x:t>
  </x:si>
  <x:si>
    <x:t xml:space="preserve">Gentamicina Solucion Inyectable 80 Mg/2 Ml (amp)</x:t>
  </x:si>
  <x:si>
    <x:t xml:space="preserve">Gentamicina Solucion Oftalmica  0,3% (5 ml)  FRASCOS</x:t>
  </x:si>
  <x:si>
    <x:t xml:space="preserve">Gentamicina Unguento Oftálmico 0,3%  POMO</x:t>
  </x:si>
  <x:si>
    <x:t xml:space="preserve">Glibenclamida  5 mg  COMPRIMIDOS</x:t>
  </x:si>
  <x:si>
    <x:t xml:space="preserve">Glicerina 3g adulto   SUPOSITORIOS</x:t>
  </x:si>
  <x:si>
    <x:t xml:space="preserve">GLUCONATO DE CALCIO 10% 10ML  AMPOLLAS</x:t>
  </x:si>
  <x:si>
    <x:t xml:space="preserve">Haloperidol 1 Mg Comprimidos</x:t>
  </x:si>
  <x:si>
    <x:t xml:space="preserve">Haloperidol 5 Mg / 1 ml amp.</x:t>
  </x:si>
  <x:si>
    <x:t xml:space="preserve">Haloperidol BE 5 mg  COMPRIMIDOS</x:t>
  </x:si>
  <x:si>
    <x:t xml:space="preserve">Hidralazina 50 mg   COMPRIMIDOS</x:t>
  </x:si>
  <x:si>
    <x:t xml:space="preserve">Hidroclorotiazida Comprimidos 50 Mg</x:t>
  </x:si>
  <x:si>
    <x:t xml:space="preserve">Hidrocortisona 1 %    CREMA</x:t>
  </x:si>
  <x:si>
    <x:t xml:space="preserve">Hidrocortisona Polvo Para Solucion Inyectable 100 Mg  Amp.</x:t>
  </x:si>
  <x:si>
    <x:t xml:space="preserve">Hidrocortisona Polvo Para Solucion Inyectable 500 Mg  Amp.</x:t>
  </x:si>
  <x:si>
    <x:t xml:space="preserve">Hidroxizina 10mg/5ml. Jarabe 120 ml. Fco.</x:t>
  </x:si>
  <x:si>
    <x:t xml:space="preserve">Hidroxizina 20 mg.  Cm.</x:t>
  </x:si>
  <x:si>
    <x:t xml:space="preserve">Hipoclorito de Sodio 4% o 5% Lts.   Litro</x:t>
  </x:si>
  <x:si>
    <x:t xml:space="preserve">Ibuprofeno  200 mg/5 ml (100ml)  JARABE</x:t>
  </x:si>
  <x:si>
    <x:t xml:space="preserve">Ibuprofeno Comprimidos Recubiertos  400 mg  COMPRIMIDOS</x:t>
  </x:si>
  <x:si>
    <x:t xml:space="preserve">Imipramina Clorhidrato Comprimidos 25 Mg   Comprimidos</x:t>
  </x:si>
  <x:si>
    <x:t xml:space="preserve">Insulina Cristalina 100 U.I./mL F.A. 10 mL</x:t>
  </x:si>
  <x:si>
    <x:t xml:space="preserve">Insulina Humana NPH Inyectable 100 U.I./mL F.A 10 mL</x:t>
  </x:si>
  <x:si>
    <x:t xml:space="preserve">Isoniazida  200 mg/5 ml  Suspension oral  120 ml  Fco</x:t>
  </x:si>
  <x:si>
    <x:t xml:space="preserve">Isoniazida cm 100 mg</x:t>
  </x:si>
  <x:si>
    <x:t xml:space="preserve">Isoniazida cm 300 mg   Cm.</x:t>
  </x:si>
  <x:si>
    <x:t xml:space="preserve">Isoniazida cm 300 mg Cm. + Rifapentine 300 mg Cm Recub.</x:t>
  </x:si>
  <x:si>
    <x:t xml:space="preserve">Isosorbide Dinitrato   10 mg  COMPRIMIDOS</x:t>
  </x:si>
  <x:si>
    <x:t xml:space="preserve">Ketoconazol  2% Shampoo  100ml Fco.</x:t>
  </x:si>
  <x:si>
    <x:t xml:space="preserve">KETOPROFENO 100MG/2ML  IV   AMPOLLAS</x:t>
  </x:si>
  <x:si>
    <x:t xml:space="preserve">Ketorolaco 30 mg sublingual   COMPRIMIDOS</x:t>
  </x:si>
  <x:si>
    <x:t xml:space="preserve">Ketorolaco Trometamol  30 mg/ 1 ml Amp.</x:t>
  </x:si>
  <x:si>
    <x:t xml:space="preserve">Lactulosa 65% o 66,7% sol. oral 200 mL   FRASCOS</x:t>
  </x:si>
  <x:si>
    <x:t xml:space="preserve">Lagrima artificial    FRASCOS</x:t>
  </x:si>
  <x:si>
    <x:t xml:space="preserve">Lamotrigina  100 mg  COMPRIMIDOS</x:t>
  </x:si>
  <x:si>
    <x:t xml:space="preserve">Lamotrigina  50 mg  COMPRIMIDOS</x:t>
  </x:si>
  <x:si>
    <x:t xml:space="preserve">Lamotrigina Cm 50 Mg (S. S. M. S.)</x:t>
  </x:si>
  <x:si>
    <x:t xml:space="preserve">Lanatosido C 0,4 Mg/2Ml Ampolla</x:t>
  </x:si>
  <x:si>
    <x:t xml:space="preserve">Latanoprost monodosis 0.2ml 50mcg/ml   AMPOLLAS</x:t>
  </x:si>
  <x:si>
    <x:t xml:space="preserve">Levetiracetam  1000 mg  COMPRIMIDOS</x:t>
  </x:si>
  <x:si>
    <x:t xml:space="preserve">Levetiracetam  500 mg  COMPRIMIDOS</x:t>
  </x:si>
  <x:si>
    <x:t xml:space="preserve">Levetiracetam 100 mg/ml SOL. ORAL</x:t>
  </x:si>
  <x:si>
    <x:t xml:space="preserve">Levodopa / Carbidopa  250 / 25 mg  COMPRIMIDOS</x:t>
  </x:si>
  <x:si>
    <x:t xml:space="preserve">Levodopa/Benserazida  200/ 50 mg  COMPRIMIDOS</x:t>
  </x:si>
  <x:si>
    <x:t xml:space="preserve">Levodropropizina  60mg/10 ml  Jarabe  120ml</x:t>
  </x:si>
  <x:si>
    <x:t xml:space="preserve">Levotiroxina  100 mcg  COMPRIMIDOS</x:t>
  </x:si>
  <x:si>
    <x:t xml:space="preserve">Levotiroxina  50 mcg  COMPRIMIDOS</x:t>
  </x:si>
  <x:si>
    <x:t xml:space="preserve">Lidocaina Clorhidrato 2% Solucion Inyectable Amp. De 5 Ml</x:t>
  </x:si>
  <x:si>
    <x:t xml:space="preserve">Loratadina  5mg / 5ml  Jbe x 60ml</x:t>
  </x:si>
  <x:si>
    <x:t xml:space="preserve">Loratadina 10 mg  COMPRIMIDOS</x:t>
  </x:si>
  <x:si>
    <x:t xml:space="preserve">Losartan Potasico Comprimidos Recubiertos  50 mg </x:t>
  </x:si>
  <x:si>
    <x:t xml:space="preserve">Mebendazol Comprimidos 100 Mg   Cm.</x:t>
  </x:si>
  <x:si>
    <x:t xml:space="preserve">Mebendazol Suspension 100 Mg/5 Ml (30 ml)   Frasco</x:t>
  </x:si>
  <x:si>
    <x:t xml:space="preserve">Memantina  10 mg.  Cm.   COMPRIMIDOS</x:t>
  </x:si>
  <x:si>
    <x:t xml:space="preserve">Metamizol 300 mg   COMPRIMIDOS</x:t>
  </x:si>
  <x:si>
    <x:t xml:space="preserve">Metamizol Sodico (Dipirona) Solucion Inyectable 1 gr/2 ml  Amp.</x:t>
  </x:si>
  <x:si>
    <x:t xml:space="preserve">Metamizol sup. 250 mg   SUPOSITORIOS</x:t>
  </x:si>
  <x:si>
    <x:t xml:space="preserve">Metformina 1000 mg XR  COMPRIMIDOS</x:t>
  </x:si>
  <x:si>
    <x:t xml:space="preserve">Metformina Comprimido Recubierto 850 mg  Cm.</x:t>
  </x:si>
  <x:si>
    <x:t xml:space="preserve">Metildopa  250 mg  COMPRIMIDOS</x:t>
  </x:si>
  <x:si>
    <x:t xml:space="preserve">Metoclopramida Clorhidrato 10 mg   COMPRIMIDOS</x:t>
  </x:si>
  <x:si>
    <x:t xml:space="preserve">Metoclopramida Clorhidrato Solucion Inyectable 10 Mg/2 Ml (amp)</x:t>
  </x:si>
  <x:si>
    <x:t xml:space="preserve">Metronidazol 125 mg/5ml  120ml Susp. Oral  Jbe</x:t>
  </x:si>
  <x:si>
    <x:t xml:space="preserve">Metronidazol 500 mg Ovulos  ud.   OVULOS</x:t>
  </x:si>
  <x:si>
    <x:t xml:space="preserve">Metronidazol Comprimidos Recubiertos 500 Mg   Cm.</x:t>
  </x:si>
  <x:si>
    <x:t xml:space="preserve">Metronidazol Gel 0,75 %    GEL</x:t>
  </x:si>
  <x:si>
    <x:t xml:space="preserve">Miconazol 2% gel 40 g   POMO</x:t>
  </x:si>
  <x:si>
    <x:t xml:space="preserve">Midazolam Solucion Inyectable 5 Mg/1 Ml (amp)   Ampollas</x:t>
  </x:si>
  <x:si>
    <x:t xml:space="preserve">Mirtazapina  30 mg  COMPRIMIDOS</x:t>
  </x:si>
  <x:si>
    <x:t xml:space="preserve">Mometasona  Furoato 0,1% 15g  ud.  CREMA</x:t>
  </x:si>
  <x:si>
    <x:t xml:space="preserve">N-Acetilcisteína jbe 100mg/5mL   FRASCOS</x:t>
  </x:si>
  <x:si>
    <x:t xml:space="preserve">Nirmatrelvir/Ritonavir 150/100 mg   COMPRIMIDOS</x:t>
  </x:si>
  <x:si>
    <x:t xml:space="preserve">Nistatina 100.000  UI/ml Susp. Oral para Gotas Fco 20 a 30 Ml</x:t>
  </x:si>
  <x:si>
    <x:t xml:space="preserve">Nistatina 100.000 UI   OVULOS</x:t>
  </x:si>
  <x:si>
    <x:t xml:space="preserve">Nitrofurantoina Macrocristales 100 mg  CAPSULAS</x:t>
  </x:si>
  <x:si>
    <x:t xml:space="preserve">Nitrofurantoina Suspension Oral 25Mg/5 Ml (60 ml)   Frasco</x:t>
  </x:si>
  <x:si>
    <x:t xml:space="preserve">Olanzapina Comprimidos Recubiertos 10 Mg</x:t>
  </x:si>
  <x:si>
    <x:t xml:space="preserve">Omeprazol  20 mg  CAPSULAS</x:t>
  </x:si>
  <x:si>
    <x:t xml:space="preserve">Omeprazol Liofilizado para Sol. Inyectable 40 mg.  Amp.</x:t>
  </x:si>
  <x:si>
    <x:t xml:space="preserve">Ondansetron  4mg / 2ml Sol. Iny. Amp.</x:t>
  </x:si>
  <x:si>
    <x:t xml:space="preserve">Papaverina/ Atropina (Dolospam)  40 mg/ 0,5 mg  COMPRIMIDOS</x:t>
  </x:si>
  <x:si>
    <x:t xml:space="preserve">Paracetamol   500 mg  COMPRIMIDOS</x:t>
  </x:si>
  <x:si>
    <x:t xml:space="preserve">Paracetamol  Sup. 125 mg  SUPOSITORIOS</x:t>
  </x:si>
  <x:si>
    <x:t xml:space="preserve">Paracetamol Infantil Comprimidos Masticables 80 Mg</x:t>
  </x:si>
  <x:si>
    <x:t xml:space="preserve">Paracetamol Sol.Para Gotas Orales 100 Mg/Ml (15 ml)   Frasco</x:t>
  </x:si>
  <x:si>
    <x:t xml:space="preserve">Pargeverina 5mg / 2ml Amp.</x:t>
  </x:si>
  <x:si>
    <x:t xml:space="preserve">Paroxetina 20 Mg Comprimidos Recubiertos  </x:t>
  </x:si>
  <x:si>
    <x:t xml:space="preserve">Penicilina G (Como Benzatina)Polvo Susp. Inyect. 1,200,000 U.I. ud.</x:t>
  </x:si>
  <x:si>
    <x:t xml:space="preserve">PILOCARPINA 4%   GOTAS</x:t>
  </x:si>
  <x:si>
    <x:t xml:space="preserve">Pirazinamida Cm 500 Mg</x:t>
  </x:si>
  <x:si>
    <x:t xml:space="preserve">Piridoxina  50 mg. Cm.</x:t>
  </x:si>
  <x:si>
    <x:t xml:space="preserve">PIRIDOXINA 10MG  COMPRIMIDOS</x:t>
  </x:si>
  <x:si>
    <x:t xml:space="preserve">Pramipexol   0,25 mg  COMPRIMIDOS</x:t>
  </x:si>
  <x:si>
    <x:t xml:space="preserve">Pramipexol  1 mg  COMPRIMIDOS</x:t>
  </x:si>
  <x:si>
    <x:t xml:space="preserve">Prednisona  20 mg  COMPRIMIDOS</x:t>
  </x:si>
  <x:si>
    <x:t xml:space="preserve">Prednisona  5  Mg.  Cm.   COMPRIMIDOS</x:t>
  </x:si>
  <x:si>
    <x:t xml:space="preserve">Prednisona Jarabe 20 mg/5 ml  FRASCOS</x:t>
  </x:si>
  <x:si>
    <x:t xml:space="preserve">Pregabalina 75 mg. Cm.   Comprimidos</x:t>
  </x:si>
  <x:si>
    <x:t xml:space="preserve">Primidona 250 Mg Comprimidos   Comprimidos</x:t>
  </x:si>
  <x:si>
    <x:t xml:space="preserve">Propranolol  40 mg  COMPRIMIDOS</x:t>
  </x:si>
  <x:si>
    <x:t xml:space="preserve">Propranolol Clorhidrato 1Mg/1Ml inyectable Amp. 1 ml</x:t>
  </x:si>
  <x:si>
    <x:t xml:space="preserve">Quetiapina  100 mg  COMPRIMIDOS</x:t>
  </x:si>
  <x:si>
    <x:t xml:space="preserve">Quetiapina  25 mg  COMPRIMIDOS</x:t>
  </x:si>
  <x:si>
    <x:t xml:space="preserve">Quetiapina 25 mg. Cm. (entrega S.S.M.S.)</x:t>
  </x:si>
  <x:si>
    <x:t xml:space="preserve">Ranitidina Solucion Inyectable 50 Mg/2 Ml</x:t>
  </x:si>
  <x:si>
    <x:t xml:space="preserve">Rifampicina Cp 150 Mg</x:t>
  </x:si>
  <x:si>
    <x:t xml:space="preserve">Rifapentine 150 mg. Cm.</x:t>
  </x:si>
  <x:si>
    <x:t xml:space="preserve">Risperidona Comprimidos Recubiertos 1 Mg</x:t>
  </x:si>
  <x:si>
    <x:t xml:space="preserve">Risperidona Comprimidos Recubiertos 3 Mg</x:t>
  </x:si>
  <x:si>
    <x:t xml:space="preserve">Risperidona Solucion Oral Gotas 1mg/ml (30 ml) (22gotas/ml)</x:t>
  </x:si>
  <x:si>
    <x:t xml:space="preserve">Salbutamol  100 ug/dosis  INHALADORES</x:t>
  </x:si>
  <x:si>
    <x:t xml:space="preserve">Sales Para Rehidratacion Oral-60 Polvo Para Solucion (sac)   Sobre</x:t>
  </x:si>
  <x:si>
    <x:t xml:space="preserve">Sales Para Rehidratacion Oral-90 Polvo Para Solucion (sac)   Sobre</x:t>
  </x:si>
  <x:si>
    <x:t xml:space="preserve">Salmeterol 25 Ug/Do Inhalador Presurizado Fc 120 Do</x:t>
  </x:si>
  <x:si>
    <x:t xml:space="preserve">Sertralina  50 mg   COMPRIMIDOS</x:t>
  </x:si>
  <x:si>
    <x:t xml:space="preserve">Sulfato de Magnesio  25% (5 ml)   AMPOLLAS</x:t>
  </x:si>
  <x:si>
    <x:t xml:space="preserve">Sulfato Ferroso  200 mg  COMPRIMIDOS</x:t>
  </x:si>
  <x:si>
    <x:t xml:space="preserve">Sulfato Ferroso Soluc. Para Gotas Orales 125 Mg/Ml (10 ml)   Fco.</x:t>
  </x:si>
  <x:si>
    <x:t xml:space="preserve">Suxametonio CI 100 mg/5 ml Amp.</x:t>
  </x:si>
  <x:si>
    <x:t xml:space="preserve">Terbinafina   Clorhidrato Sol. Topica 1%  15ml</x:t>
  </x:si>
  <x:si>
    <x:t xml:space="preserve">Terbinafina  250 mg  COMPRIMIDOS</x:t>
  </x:si>
  <x:si>
    <x:t xml:space="preserve">Tetraciclina Clorhidrato Capsulas 250 Mg   Comprimidos</x:t>
  </x:si>
  <x:si>
    <x:t xml:space="preserve">Timolol 0,5 %    10 ml.  FRASCOS</x:t>
  </x:si>
  <x:si>
    <x:t xml:space="preserve">Tioridazina Clorhidrato Grageas 100 Mg Cm.   Comprimidos</x:t>
  </x:si>
  <x:si>
    <x:t xml:space="preserve">Tobramicina 0.3% / Dexametasona 0.1% 0.3% 5ml  GOTAS</x:t>
  </x:si>
  <x:si>
    <x:t xml:space="preserve">Tramadol Clorhidrato 100 mg/2 mL sol. iny.   AMPOLLAS</x:t>
  </x:si>
  <x:si>
    <x:t xml:space="preserve">Tramadol Clorhidrato Cm 50 Mg</x:t>
  </x:si>
  <x:si>
    <x:t xml:space="preserve">Tramadol Clorhidrato Fc 100 Mg/Ml Solucion En Gotas 10 Ml</x:t>
  </x:si>
  <x:si>
    <x:t xml:space="preserve">Travoprost 0,004% + Timolol 0,5 mg. Fco (Duotrav)   FRASCOS</x:t>
  </x:si>
  <x:si>
    <x:t xml:space="preserve">Trazodona Clorhidrato 100 mg  CAPSULAS</x:t>
  </x:si>
  <x:si>
    <x:t xml:space="preserve">Trazodona Clorhidrato 100 mg COMPRIMIDOS</x:t>
  </x:si>
  <x:si>
    <x:t xml:space="preserve">Trihexifenidilo Clorhidrato (Tonaril) 2 mg  COMPRIMIDOS</x:t>
  </x:si>
  <x:si>
    <x:t xml:space="preserve">Tropicamida  1 % Solucion Oftalmica Esteril  15 ml. Fco Ud.</x:t>
  </x:si>
  <x:si>
    <x:t xml:space="preserve">Vaselina esteril ampollas 10 ml ud.</x:t>
  </x:si>
  <x:si>
    <x:t xml:space="preserve">Venlafaxina 37.5 mg Liberación Prolongada  CAPSULAS</x:t>
  </x:si>
  <x:si>
    <x:t xml:space="preserve">Venlafaxina 75 mg XR  COMPRIMIDOS</x:t>
  </x:si>
  <x:si>
    <x:t xml:space="preserve">Verapamilo 5 mg/ml. Amp</x:t>
  </x:si>
  <x:si>
    <x:t xml:space="preserve">Vildagliptina  50  mg.  Cm.</x:t>
  </x:si>
  <x:si>
    <x:t xml:space="preserve">Vitaminas ACD gotas fco 30 ml   Frasco</x:t>
  </x:si>
  <x:si>
    <x:t xml:space="preserve">Vitaminas B1, B6, B12 10.000 Solucion Inyectable (amp)</x:t>
  </x:si>
  <x:si>
    <x:t xml:space="preserve">Zinc sol. oral gotas 5mg/mL   FRASCOS</x:t>
  </x:si>
  <x:si>
    <x:t xml:space="preserve">Ziprasidona  80mg  CAPSULAS</x:t>
  </x:si>
  <x:si>
    <x:t xml:space="preserve">Zopiclona Comprimidos Recubiertos 7,5 Mg</x:t>
  </x:si>
  <x:si>
    <x:t xml:space="preserve">Aerocamara Adulto ud.</x:t>
  </x:si>
  <x:si>
    <x:t xml:space="preserve">Cecof U.V. 29  Yalta</x:t>
  </x:si>
  <x:si>
    <x:t xml:space="preserve">Aerocamara Infantil ud.</x:t>
  </x:si>
  <x:si>
    <x:t xml:space="preserve">Aerocamara Neonatal ud.</x:t>
  </x:si>
  <x:si>
    <x:t xml:space="preserve">Agua Bidestilada 500 ml Matraz ud.</x:t>
  </x:si>
  <x:si>
    <x:t xml:space="preserve">Esterilización</x:t>
  </x:si>
  <x:si>
    <x:t xml:space="preserve">Agua Bidestilada para Esterilización, Medico,Odont.  Lts.</x:t>
  </x:si>
  <x:si>
    <x:t xml:space="preserve">Agua Oxigenada 10 vol  110 ml</x:t>
  </x:si>
  <x:si>
    <x:t xml:space="preserve">Agua Oxigenada 10 Volumenes Solucion Topica (1000 ml)</x:t>
  </x:si>
  <x:si>
    <x:t xml:space="preserve">Agua Oxigenada 10 Volumenes Solucion Topica (500 ml)</x:t>
  </x:si>
  <x:si>
    <x:t xml:space="preserve">Aguja Hipodérmica 19G x 1 1/2 ud.</x:t>
  </x:si>
  <x:si>
    <x:t xml:space="preserve">Aguja Hipodérmica 21G x 1 1/2 ud.</x:t>
  </x:si>
  <x:si>
    <x:t xml:space="preserve">Aguja Hipodérmica 21G x 1 ud.</x:t>
  </x:si>
  <x:si>
    <x:t xml:space="preserve">Aguja Hipodermica 22G x 1  Ud.</x:t>
  </x:si>
  <x:si>
    <x:t xml:space="preserve">Aguja Hipodérmica 23 G x 1 1/2 ud.</x:t>
  </x:si>
  <x:si>
    <x:t xml:space="preserve">Aguja Hipodérmica 23G x 1 ud.</x:t>
  </x:si>
  <x:si>
    <x:t xml:space="preserve">Aguja Hipodérmica 25G x 5/8 ud.</x:t>
  </x:si>
  <x:si>
    <x:t xml:space="preserve">Aguja Multiple 21G x 1 1/2 Vacuete Ud.</x:t>
  </x:si>
  <x:si>
    <x:t xml:space="preserve">Alcohol  70º (250ml)  FRASCOS</x:t>
  </x:si>
  <x:si>
    <x:t xml:space="preserve">Alcohol 70º 1 Litro</x:t>
  </x:si>
  <x:si>
    <x:t xml:space="preserve">Alcohol Gel  70% 1 litro</x:t>
  </x:si>
  <x:si>
    <x:t xml:space="preserve">Alcohol Gel 70%  340 ml  FRASCOS</x:t>
  </x:si>
  <x:si>
    <x:t xml:space="preserve">ALCOHOL ISOPROPILICO 70° SPRAY 290ML  FRASCOS</x:t>
  </x:si>
  <x:si>
    <x:t xml:space="preserve">Algodón Kilo</x:t>
  </x:si>
  <x:si>
    <x:t xml:space="preserve">OTRO</x:t>
  </x:si>
  <x:si>
    <x:t xml:space="preserve">Ambu Resucitador Adulto   Ud.</x:t>
  </x:si>
  <x:si>
    <x:t xml:space="preserve">Ambu Resucitador Pediatrico Ud.</x:t>
  </x:si>
  <x:si>
    <x:t xml:space="preserve">Antiparras ud.</x:t>
  </x:si>
  <x:si>
    <x:t xml:space="preserve">Aparato de Toma de Presión Ud. (con VB QF comunal)</x:t>
  </x:si>
  <x:si>
    <x:t xml:space="preserve">Aplicador con algodón ud.</x:t>
  </x:si>
  <x:si>
    <x:t xml:space="preserve">Aposito  de Gasa + Algodon  7 x 20 CM  ud.</x:t>
  </x:si>
  <x:si>
    <x:t xml:space="preserve">Aposito estéril 10 x 10 ud.</x:t>
  </x:si>
  <x:si>
    <x:t xml:space="preserve">Aposito estéril 10 x 20 ud.</x:t>
  </x:si>
  <x:si>
    <x:t xml:space="preserve">Apósito estéril 10 x 25 ud.</x:t>
  </x:si>
  <x:si>
    <x:t xml:space="preserve">Aposito Transparente 10 cm x 12 cm ( Tegaderm )  Ud.</x:t>
  </x:si>
  <x:si>
    <x:t xml:space="preserve">Aposito Transparente 6 cm x 7 cm ( Tegaderm ) Ud.</x:t>
  </x:si>
  <x:si>
    <x:t xml:space="preserve">Apósito Transparente IV Adulto 7x9cm   PARCHES</x:t>
  </x:si>
  <x:si>
    <x:t xml:space="preserve">Apósito Transparente IV Infantil 5x5,7cm   PARCHES</x:t>
  </x:si>
  <x:si>
    <x:t xml:space="preserve">Bajada de suero 120 cms Adulto ud.</x:t>
  </x:si>
  <x:si>
    <x:t xml:space="preserve">Bajalengua madera ud.</x:t>
  </x:si>
  <x:si>
    <x:t xml:space="preserve">Bisturí Nº 10 ud.</x:t>
  </x:si>
  <x:si>
    <x:t xml:space="preserve">Bisturí Nº 11 ud.</x:t>
  </x:si>
  <x:si>
    <x:t xml:space="preserve">Bisturí Nº 15 ud.</x:t>
  </x:si>
  <x:si>
    <x:t xml:space="preserve">Bisturí Nº 20 ud.</x:t>
  </x:si>
  <x:si>
    <x:t xml:space="preserve">Bisturí Nº 23 ud.</x:t>
  </x:si>
  <x:si>
    <x:t xml:space="preserve">Bolsa ostomia 19/64 recortable +10 pinzas  10 Ud.</x:t>
  </x:si>
  <x:si>
    <x:t xml:space="preserve">Bolsa Plástica para examen de PAP 10 x 6 ud.</x:t>
  </x:si>
  <x:si>
    <x:t xml:space="preserve">Bolsas Mortuorio (Difuntos) Ud.</x:t>
  </x:si>
  <x:si>
    <x:t xml:space="preserve">Boquillas Espirómetro 30 mm cartón ud.</x:t>
  </x:si>
  <x:si>
    <x:t xml:space="preserve">Branula 14G x 2 ud.</x:t>
  </x:si>
  <x:si>
    <x:t xml:space="preserve">Branula 16G x 1 1/4 ud.</x:t>
  </x:si>
  <x:si>
    <x:t xml:space="preserve">Branula 18G x 1 1/4 ud.</x:t>
  </x:si>
  <x:si>
    <x:t xml:space="preserve">Branula 20G x 1 1/4 ud.</x:t>
  </x:si>
  <x:si>
    <x:t xml:space="preserve">Branula 22G x 1 ud.</x:t>
  </x:si>
  <x:si>
    <x:t xml:space="preserve">Branula 24G ud.</x:t>
  </x:si>
  <x:si>
    <x:t xml:space="preserve">Campaña Vacunación</x:t>
  </x:si>
  <x:si>
    <x:t xml:space="preserve">Caja cortopunzante    UNIDAD</x:t>
  </x:si>
  <x:si>
    <x:t xml:space="preserve">Canula Mayo 0   UNIDAD</x:t>
  </x:si>
  <x:si>
    <x:t xml:space="preserve">Canula Mayo 00   UNIDAD</x:t>
  </x:si>
  <x:si>
    <x:t xml:space="preserve">Canula Mayo 1   UNIDAD</x:t>
  </x:si>
  <x:si>
    <x:t xml:space="preserve">Canulas Mayo N° 2 ud.</x:t>
  </x:si>
  <x:si>
    <x:t xml:space="preserve">Canulas Mayo N° 3 ud.</x:t>
  </x:si>
  <x:si>
    <x:t xml:space="preserve">Canulas Mayo N° 4 ud.</x:t>
  </x:si>
  <x:si>
    <x:t xml:space="preserve">Canulas Mayo N° 5 ud.</x:t>
  </x:si>
  <x:si>
    <x:t xml:space="preserve">Carbón activado 30 gr ud.</x:t>
  </x:si>
  <x:si>
    <x:t xml:space="preserve">Catgut Simple Sutura Absorbible + Aguja estéril Nº 3/0 ud.</x:t>
  </x:si>
  <x:si>
    <x:t xml:space="preserve">Catgut Simple Sutura Absorbible + Aguja estéril Nº 4/0 ud.</x:t>
  </x:si>
  <x:si>
    <x:t xml:space="preserve">cinta cetonemia  ud.   UNIDAD</x:t>
  </x:si>
  <x:si>
    <x:t xml:space="preserve">Cinta de Fluoresceina   ud.</x:t>
  </x:si>
  <x:si>
    <x:t xml:space="preserve">Cintas de colesterol Pack.  (Cajas x 25 ud. (Cinta+Pipeta+Lanceta))</x:t>
  </x:si>
  <x:si>
    <x:t xml:space="preserve">Cintas de glicemia Pack. ENVIO SSMS</x:t>
  </x:si>
  <x:si>
    <x:t xml:space="preserve">Citospray 100 ml ud.</x:t>
  </x:si>
  <x:si>
    <x:t xml:space="preserve">Clorhexidina jabón 2% 1000 ml ud.</x:t>
  </x:si>
  <x:si>
    <x:t xml:space="preserve">Clorhexidina jabón 2% 340 ml ud.</x:t>
  </x:si>
  <x:si>
    <x:t xml:space="preserve">Clorhexidina Solucion Topica  2% , 1000 ml lts</x:t>
  </x:si>
  <x:si>
    <x:t xml:space="preserve">Clorhexidina solución tópica 2% (50 o 125 ml) Fco.</x:t>
  </x:si>
  <x:si>
    <x:t xml:space="preserve">Cloruro  de  Sodio 10% x 10ml   Amp.</x:t>
  </x:si>
  <x:si>
    <x:t xml:space="preserve">Cloruro de Potasio 10 % Amp.</x:t>
  </x:si>
  <x:si>
    <x:t xml:space="preserve">Cloruro de sodio 0,9 % 10 ml ud.</x:t>
  </x:si>
  <x:si>
    <x:t xml:space="preserve">Cloruro de sodio 0,9 % 100 ml ud.</x:t>
  </x:si>
  <x:si>
    <x:t xml:space="preserve">Cloruro de sodio 0,9 % 20 ml ud.</x:t>
  </x:si>
  <x:si>
    <x:t xml:space="preserve">Cloruro de sodio 0,9 % 250 ml ud.</x:t>
  </x:si>
  <x:si>
    <x:t xml:space="preserve">Cloruro de sodio 0,9 % 5 ml ud.</x:t>
  </x:si>
  <x:si>
    <x:t xml:space="preserve">Cloruro de sodio 0,9 % 500 ml ud.</x:t>
  </x:si>
  <x:si>
    <x:t xml:space="preserve">CLORURO DE SODIO 10% 20ML   AMPOLLAS</x:t>
  </x:si>
  <x:si>
    <x:t xml:space="preserve">Comburt Test 10 parámetros ud.</x:t>
  </x:si>
  <x:si>
    <x:t xml:space="preserve">Control biologico autoclave ud.</x:t>
  </x:si>
  <x:si>
    <x:t xml:space="preserve">Control Esteril  Autoclave  de vapor tira  ud.</x:t>
  </x:si>
  <x:si>
    <x:t xml:space="preserve">Control externo autoclave rollos</x:t>
  </x:si>
  <x:si>
    <x:t xml:space="preserve">Control hoja Bowie Dick autoclave. ud.</x:t>
  </x:si>
  <x:si>
    <x:t xml:space="preserve">Control interno multiparametro autoclave tira ud.</x:t>
  </x:si>
  <x:si>
    <x:t xml:space="preserve">Control pupinel rollo</x:t>
  </x:si>
  <x:si>
    <x:t xml:space="preserve">Cortador de Pastillas  Ud.</x:t>
  </x:si>
  <x:si>
    <x:t xml:space="preserve">Decametrina O Piretrina Locion Antisarnica 60 Ml Fco.</x:t>
  </x:si>
  <x:si>
    <x:t xml:space="preserve">Decametrina O Piretrina Shampoo Pediculicida 120 Ml Fco.</x:t>
  </x:si>
  <x:si>
    <x:t xml:space="preserve">Delantal procedimiento desechable ud.</x:t>
  </x:si>
  <x:si>
    <x:t xml:space="preserve">Desincrustante  Lts.</x:t>
  </x:si>
  <x:si>
    <x:t xml:space="preserve">Detergente Enzimático 3.78lts (o 5 lts)   OTROS</x:t>
  </x:si>
  <x:si>
    <x:t xml:space="preserve">Ecofundas o preservativas para Ecografo ud.</x:t>
  </x:si>
  <x:si>
    <x:t xml:space="preserve">CIRUGIA MENOR</x:t>
  </x:si>
  <x:si>
    <x:t xml:space="preserve">Electrodos de Retorno Bipolar  (Placa Elestrobisturi) ud.</x:t>
  </x:si>
  <x:si>
    <x:t xml:space="preserve">Electrodos para ECG x 100 unidades</x:t>
  </x:si>
  <x:si>
    <x:t xml:space="preserve">Electrodos para ECG x 50 unidades</x:t>
  </x:si>
  <x:si>
    <x:t xml:space="preserve">Electrodos para monitor E.C.G. Niño ud.</x:t>
  </x:si>
  <x:si>
    <x:t xml:space="preserve">Electrodos set 4 Pinza Adulto metal</x:t>
  </x:si>
  <x:si>
    <x:t xml:space="preserve">Equipo Cetonemia (Freestyle)   OTROS</x:t>
  </x:si>
  <x:si>
    <x:t xml:space="preserve">Escudo facial Profecional Policarbonato ud.</x:t>
  </x:si>
  <x:si>
    <x:t xml:space="preserve">Escudo facial ud. Unidad  UNIDAD</x:t>
  </x:si>
  <x:si>
    <x:t xml:space="preserve">Espatulas Ayre (PAP) + Cepillo  Cervical  Kit.  ( Kit Citologia)</x:t>
  </x:si>
  <x:si>
    <x:t xml:space="preserve">Espatulas Ayre (PAP) ud.</x:t>
  </x:si>
  <x:si>
    <x:t xml:space="preserve">Etiqueta autoa. Demarka , papel Mate 70x100 mm. Rollo 692 (Impresora Farmacia)</x:t>
  </x:si>
  <x:si>
    <x:t xml:space="preserve">Etiqueta para Autoclave rollo</x:t>
  </x:si>
  <x:si>
    <x:t xml:space="preserve">Etiquetas para Examen térmica 30x50   rollo</x:t>
  </x:si>
  <x:si>
    <x:t xml:space="preserve">Extensor o Alargador Venoso con llave de 3 pasos  Ud.</x:t>
  </x:si>
  <x:si>
    <x:t xml:space="preserve">Filtro Bacteriano Viral   (cuadrado)  ud.</x:t>
  </x:si>
  <x:si>
    <x:t xml:space="preserve">Filtro Hepa Ambu ud.</x:t>
  </x:si>
  <x:si>
    <x:t xml:space="preserve">Flujometro   UNIDAD</x:t>
  </x:si>
  <x:si>
    <x:t xml:space="preserve">Fonendoscopio  o Estetoscopio Aluminio Adulto Ud. (con VB QF comunal)</x:t>
  </x:si>
  <x:si>
    <x:t xml:space="preserve">Fonendoscopio  o Estetoscopio Aluminio Pediatrico Ud. (con VB QF comunal)</x:t>
  </x:si>
  <x:si>
    <x:t xml:space="preserve">Formalina  Tamponada al 10 %  lts</x:t>
  </x:si>
  <x:si>
    <x:t xml:space="preserve">Frasco  Orina  Esteril  60 ml  tapa roja Ud. (Baciloscopia)</x:t>
  </x:si>
  <x:si>
    <x:t xml:space="preserve">GASA 10 x 10 X 2 sobres</x:t>
  </x:si>
  <x:si>
    <x:t xml:space="preserve">GASA 5 x 5  X 2 sobres</x:t>
  </x:si>
  <x:si>
    <x:t xml:space="preserve">Gasa 7,5 x 7,5  X 2 sobres</x:t>
  </x:si>
  <x:si>
    <x:t xml:space="preserve">Gasa hidrófila rollo</x:t>
  </x:si>
  <x:si>
    <x:t xml:space="preserve">Gel electro y ultrasonido 250 grs ud.</x:t>
  </x:si>
  <x:si>
    <x:t xml:space="preserve">Gel Frio para insulinas ud</x:t>
  </x:si>
  <x:si>
    <x:t xml:space="preserve">Glucosa al 10 % 250 ml ud.</x:t>
  </x:si>
  <x:si>
    <x:t xml:space="preserve">Glucosa al 30 % 20 ml ud.</x:t>
  </x:si>
  <x:si>
    <x:t xml:space="preserve">Glucosalino 2,5% isotonico 1000 ml ud.</x:t>
  </x:si>
  <x:si>
    <x:t xml:space="preserve">Glucosalino 2,5% isotonico 500 ml ud.</x:t>
  </x:si>
  <x:si>
    <x:t xml:space="preserve">Gorros desechables universal ud.  </x:t>
  </x:si>
  <x:si>
    <x:t xml:space="preserve">Guantes esteriles 6 1/2 Par.</x:t>
  </x:si>
  <x:si>
    <x:t xml:space="preserve">Guantes esteriles 6 Par.</x:t>
  </x:si>
  <x:si>
    <x:t xml:space="preserve">Guantes esteriles 7 1/2 Par.</x:t>
  </x:si>
  <x:si>
    <x:t xml:space="preserve">Guantes esteriles 7 Par.</x:t>
  </x:si>
  <x:si>
    <x:t xml:space="preserve">Guantes esteriles 8 Par.</x:t>
  </x:si>
  <x:si>
    <x:t xml:space="preserve">Guantes procedimiento (latex)  talla S  ud. </x:t>
  </x:si>
  <x:si>
    <x:t xml:space="preserve">Guantes procedimiento (latex) talla L ud.</x:t>
  </x:si>
  <x:si>
    <x:t xml:space="preserve">Guantes procedimiento (latex) talla M  Ud. </x:t>
  </x:si>
  <x:si>
    <x:t xml:space="preserve">Guantes procedimiento (latex) talla XS ud.</x:t>
  </x:si>
  <x:si>
    <x:t xml:space="preserve">Guantes Procedimiento Nitrilo  talla L    Ud.</x:t>
  </x:si>
  <x:si>
    <x:t xml:space="preserve">Guantes Procedimiento Nitrilo  talla M    Ud.</x:t>
  </x:si>
  <x:si>
    <x:t xml:space="preserve">Guantes Procedimiento Nitrilo  talla S    Ud.</x:t>
  </x:si>
  <x:si>
    <x:t xml:space="preserve">Humidificador desechable  500 ml  Ud.</x:t>
  </x:si>
  <x:si>
    <x:t xml:space="preserve">Humidificador Reutilizable ud.</x:t>
  </x:si>
  <x:si>
    <x:t xml:space="preserve">COVID</x:t>
  </x:si>
  <x:si>
    <x:t xml:space="preserve">Incentivador Respiratorio de 3 Balones  Ud.</x:t>
  </x:si>
  <x:si>
    <x:t xml:space="preserve">Jeringa 1 ml insulina ud.</x:t>
  </x:si>
  <x:si>
    <x:t xml:space="preserve">Jeringa 1 ml tuberculina ud.</x:t>
  </x:si>
  <x:si>
    <x:t xml:space="preserve">Jeringa 3 ml ud.</x:t>
  </x:si>
  <x:si>
    <x:t xml:space="preserve">Jeringa 5 ml ud.</x:t>
  </x:si>
  <x:si>
    <x:t xml:space="preserve">Jeringa 10 ml ud.</x:t>
  </x:si>
  <x:si>
    <x:t xml:space="preserve">Jeringa 20 ml ud.</x:t>
  </x:si>
  <x:si>
    <x:t xml:space="preserve">Jeringa de 50 o 60 ml ud.</x:t>
  </x:si>
  <x:si>
    <x:t xml:space="preserve">Kit Curacion Universal Esteril Desechable ud.</x:t>
  </x:si>
  <x:si>
    <x:t xml:space="preserve">Kit Repuesto Zapato Descargas N° L Ud. (1 Platilla - 1 Marcador)</x:t>
  </x:si>
  <x:si>
    <x:t xml:space="preserve">Kit Repuesto Zapato Descargas N° M Ud. (1 Platilla - 1 Marcador)</x:t>
  </x:si>
  <x:si>
    <x:t xml:space="preserve">Kit Repuesto Zapato Descargas N° S Ud. (1 Platilla - 1 Marcador)</x:t>
  </x:si>
  <x:si>
    <x:t xml:space="preserve">Kit Repuesto Zapato Descargas N° XL Ud. (1 Platilla - 1 Marcador)</x:t>
  </x:si>
  <x:si>
    <x:t xml:space="preserve">Kit Toma Muestra covid19 tubo 9 ml  Ud.</x:t>
  </x:si>
  <x:si>
    <x:t xml:space="preserve">Prog. Salud Sexual y Reproductiva</x:t>
  </x:si>
  <x:si>
    <x:t xml:space="preserve">KIT VPH VIRUS PAPILOMA HUMANO  </x:t>
  </x:si>
  <x:si>
    <x:t xml:space="preserve">Lancetas automaticas  Click ud.</x:t>
  </x:si>
  <x:si>
    <x:t xml:space="preserve">Lapiz de Boton de conmutacion ud.</x:t>
  </x:si>
  <x:si>
    <x:t xml:space="preserve">lapiz Electrobisturí desechable  Ud.</x:t>
  </x:si>
  <x:si>
    <x:t xml:space="preserve">Ligadura Vacuete Adulto ud.</x:t>
  </x:si>
  <x:si>
    <x:t xml:space="preserve">Ligadura Vacuete niño ud.</x:t>
  </x:si>
  <x:si>
    <x:t xml:space="preserve">LLAVE 3 PASOS    UNIDAD</x:t>
  </x:si>
  <x:si>
    <x:t xml:space="preserve">Loción Humectante Hipoalergenica PH5 25 ml Fco</x:t>
  </x:si>
  <x:si>
    <x:t xml:space="preserve">Manga Rollo Mixto para Esterilizar 7,5 cm x 100 mts.</x:t>
  </x:si>
  <x:si>
    <x:t xml:space="preserve">Manga  Rollo Mixto para Esterilizar 7,5 cm x 200 mts.</x:t>
  </x:si>
  <x:si>
    <x:t xml:space="preserve">Manga Rollo Mixto para Esterilizar 20 cm x 100 mts.</x:t>
  </x:si>
  <x:si>
    <x:t xml:space="preserve">Manga Rollo Mixto para Esterilizar 20 cm x 200 mts.</x:t>
  </x:si>
  <x:si>
    <x:t xml:space="preserve">Manga Rollo Mixto para Esterilizar 30 cm x 100 mts.</x:t>
  </x:si>
  <x:si>
    <x:t xml:space="preserve">Manga Rollo Mixto para Esterilizar 30 cm x 200 mts.</x:t>
  </x:si>
  <x:si>
    <x:t xml:space="preserve">Mangos bisturí con Bisturi Nº 23 ud.</x:t>
  </x:si>
  <x:si>
    <x:t xml:space="preserve">Mangos bisturí Nº 3 ud.</x:t>
  </x:si>
  <x:si>
    <x:t xml:space="preserve">Maquina para Colesterol Ud.</x:t>
  </x:si>
  <x:si>
    <x:t xml:space="preserve">Maquina para Glicemia</x:t>
  </x:si>
  <x:si>
    <x:t xml:space="preserve">Mariposa 21 G x 3/4 ud.</x:t>
  </x:si>
  <x:si>
    <x:t xml:space="preserve">Mariposa 23 G x 3/4 con adaptador luer vacuete ud.</x:t>
  </x:si>
  <x:si>
    <x:t xml:space="preserve">Mariposa 23 G x 3/4 ud.</x:t>
  </x:si>
  <x:si>
    <x:t xml:space="preserve">Mascarilla con Nebulización adulto ud.</x:t>
  </x:si>
  <x:si>
    <x:t xml:space="preserve">Mascarilla con Nebulización pediátrico ud.</x:t>
  </x:si>
  <x:si>
    <x:t xml:space="preserve">Mascarilla de Oxigeno Simple Adulto ud.</x:t>
  </x:si>
  <x:si>
    <x:t xml:space="preserve">Mascarilla de Oxigeno Simple Pediátrica ud.</x:t>
  </x:si>
  <x:si>
    <x:t xml:space="preserve">Mascarilla desechable KN95 ud.</x:t>
  </x:si>
  <x:si>
    <x:t xml:space="preserve">Mascarilla desechable N95 ud. (3M)</x:t>
  </x:si>
  <x:si>
    <x:t xml:space="preserve">Mascarilla desechable ud. </x:t>
  </x:si>
  <x:si>
    <x:t xml:space="preserve">Mascarilla Laringea Desch. Nº 1 ud.</x:t>
  </x:si>
  <x:si>
    <x:t xml:space="preserve">Mascarilla Laringea Desch. Nº 2 ud.</x:t>
  </x:si>
  <x:si>
    <x:t xml:space="preserve">Mascarilla Laringea Desch. Nº 3 ud.</x:t>
  </x:si>
  <x:si>
    <x:t xml:space="preserve">Mascarilla Laringea Desch. Nº 4 ud.</x:t>
  </x:si>
  <x:si>
    <x:t xml:space="preserve">Mascarilla Laringea Desch. Nº 5 ud.</x:t>
  </x:si>
  <x:si>
    <x:t xml:space="preserve">Mascarilla oxigeno adulto (Set sonda-nebulizador-Mascarilla) ud.</x:t>
  </x:si>
  <x:si>
    <x:t xml:space="preserve">Mascarilla oxigeno altoflujo adulto (venturi) ud.</x:t>
  </x:si>
  <x:si>
    <x:t xml:space="preserve">Mascarilla oxigeno altoflujo pediátrica (venturi) ud.</x:t>
  </x:si>
  <x:si>
    <x:t xml:space="preserve">Mascarilla oxigeno Con Reservorio adulto ud.</x:t>
  </x:si>
  <x:si>
    <x:t xml:space="preserve">Mascarilla oxigeno Con Reservorio pediátrica ud.</x:t>
  </x:si>
  <x:si>
    <x:t xml:space="preserve">Mascarilla oxigeno pediátrica (Set sonda-nebulizador-Mascarilla) ud.</x:t>
  </x:si>
  <x:si>
    <x:t xml:space="preserve">Monitor Multiparametros  (Signos Vitales)  (ARTM2)  Ud.</x:t>
  </x:si>
  <x:si>
    <x:t xml:space="preserve">Monofilamento desechable</x:t>
  </x:si>
  <x:si>
    <x:t xml:space="preserve">Monofilamento lápiz 10G   UNIDAD</x:t>
  </x:si>
  <x:si>
    <x:t xml:space="preserve">Nariceras Adulto ud. (Canula Nasal)</x:t>
  </x:si>
  <x:si>
    <x:t xml:space="preserve">Nariceras Niño ud. (Canula Nasal)</x:t>
  </x:si>
  <x:si>
    <x:t xml:space="preserve">Niple ud.</x:t>
  </x:si>
  <x:si>
    <x:t xml:space="preserve">Oximetro de Pulso o Saturometro Adulto (con VB QF comunal)   UNIDAD</x:t>
  </x:si>
  <x:si>
    <x:t xml:space="preserve">Oximetro de Pulso o Saturometro Infantil  ud.</x:t>
  </x:si>
  <x:si>
    <x:t xml:space="preserve">Paño Perforado de Campo Esteril ud.</x:t>
  </x:si>
  <x:si>
    <x:t xml:space="preserve">Papel  Térmico  Blanco Rollo  (UAPO)</x:t>
  </x:si>
  <x:si>
    <x:t xml:space="preserve">Papel ECG 210x 25   UNIDAD</x:t>
  </x:si>
  <x:si>
    <x:t xml:space="preserve">Papel ECG 50 x 30 rollo chico</x:t>
  </x:si>
  <x:si>
    <x:t xml:space="preserve">Papel ECG 63 x 30 rollo grande</x:t>
  </x:si>
  <x:si>
    <x:t xml:space="preserve">Papel ECG 80 x 20 rollo grande</x:t>
  </x:si>
  <x:si>
    <x:t xml:space="preserve">Papel ECG Fukuda 210 x 295 x 150 plegado Tipo Z ud.</x:t>
  </x:si>
  <x:si>
    <x:t xml:space="preserve">Papel ECG Fukuda 63 x 30 plegado tipo Z ud.</x:t>
  </x:si>
  <x:si>
    <x:t xml:space="preserve">Papel ECG Mac 400-600 80x90x280 tipo Z ud.</x:t>
  </x:si>
  <x:si>
    <x:t xml:space="preserve">Papel espirometro rollo</x:t>
  </x:si>
  <x:si>
    <x:t xml:space="preserve">Papel grado médico 50 x 50 ud.</x:t>
  </x:si>
  <x:si>
    <x:t xml:space="preserve">Papel grado médico 60 x 60 ud.</x:t>
  </x:si>
  <x:si>
    <x:t xml:space="preserve">Papel para EDAN SE-12 HELLIGE MAC- 1600-1200 210x295x150 Hoja</x:t>
  </x:si>
  <x:si>
    <x:t xml:space="preserve">Papel Termico 80 mm x 80 mts Rollo ( Impresora Farmacia)</x:t>
  </x:si>
  <x:si>
    <x:t xml:space="preserve">PAPEL TÉRMICO UPP-110S 110 mm x 20 m  UNIDAD</x:t>
  </x:si>
  <x:si>
    <x:t xml:space="preserve">Pastilleros ud.</x:t>
  </x:si>
  <x:si>
    <x:t xml:space="preserve">Pecheras desechables plasticas con Mangas ud.</x:t>
  </x:si>
  <x:si>
    <x:t xml:space="preserve">Peras adulto para Electrocardiografo ud.</x:t>
  </x:si>
  <x:si>
    <x:t xml:space="preserve">Pomada Azufrada 6% 50 g   POTE</x:t>
  </x:si>
  <x:si>
    <x:t xml:space="preserve">Porta objetos esmerilado ud.</x:t>
  </x:si>
  <x:si>
    <x:t xml:space="preserve">Pulverizador  Gatillo  500 ml  Ud.</x:t>
  </x:si>
  <x:si>
    <x:t xml:space="preserve">Receta Cheque para Estupef. y Prod. Psico. C. A.B.Goñi</x:t>
  </x:si>
  <x:si>
    <x:t xml:space="preserve">Receta Cheque para Estupef. y Prod. Psico. C. S. Joaquin</x:t>
  </x:si>
  <x:si>
    <x:t xml:space="preserve">Receta Cheque para Estupef. y Prod. Psico. C. Sor Teresa</x:t>
  </x:si>
  <x:si>
    <x:t xml:space="preserve">Receta Cheque para Estupef. y Prod. Psico. Cesam</x:t>
  </x:si>
  <x:si>
    <x:t xml:space="preserve">Receta Cheque para Estupef. y Prod. Psicot.SA.R. San Jaoquin</x:t>
  </x:si>
  <x:si>
    <x:t xml:space="preserve">Recetario Blanco CESAM</x:t>
  </x:si>
  <x:si>
    <x:t xml:space="preserve">Recetario Blanco CESFAM A. BAEZA Goñi</x:t>
  </x:si>
  <x:si>
    <x:t xml:space="preserve">Recetario Blanco CESFAM SAN JOAQUIN</x:t>
  </x:si>
  <x:si>
    <x:t xml:space="preserve">Recetario Blanco CESFAM SANTA TERESA</x:t>
  </x:si>
  <x:si>
    <x:t xml:space="preserve">Recetario Blanco SAR Enrique Molina   UNIDAD</x:t>
  </x:si>
  <x:si>
    <x:t xml:space="preserve">Recolector de Orina 2000 cc ud.</x:t>
  </x:si>
  <x:si>
    <x:t xml:space="preserve">Recolector de Orina Pediatrica ud.</x:t>
  </x:si>
  <x:si>
    <x:t xml:space="preserve">Rollo de Impresión test Orina Ud: (Comburtest)</x:t>
  </x:si>
  <x:si>
    <x:t xml:space="preserve">ASEO</x:t>
  </x:si>
  <x:si>
    <x:t xml:space="preserve">SABANILLA CLINICA 48MT   UNIDAD</x:t>
  </x:si>
  <x:si>
    <x:t xml:space="preserve">Sello Desechable para Carro de Paro Numerado SR rojo Ud.</x:t>
  </x:si>
  <x:si>
    <x:t xml:space="preserve">Set  de Dureza  (200 Determinaciones)</x:t>
  </x:si>
  <x:si>
    <x:t xml:space="preserve">Set oftalmo - otoscopio   UNIDAD</x:t>
  </x:si>
  <x:si>
    <x:t xml:space="preserve">Sobre de papel 0,25 L ( 1/4) ud.</x:t>
  </x:si>
  <x:si>
    <x:t xml:space="preserve">Sobre de papel 0,5 L (1/2) ud.</x:t>
  </x:si>
  <x:si>
    <x:t xml:space="preserve">Sobre para insulinas ud</x:t>
  </x:si>
  <x:si>
    <x:t xml:space="preserve">Sonda de aspiración 6 ud.</x:t>
  </x:si>
  <x:si>
    <x:t xml:space="preserve">Sonda de aspiración 8 ud.</x:t>
  </x:si>
  <x:si>
    <x:t xml:space="preserve">Sonda de aspiración 10 ud.</x:t>
  </x:si>
  <x:si>
    <x:t xml:space="preserve">Sonda de aspiración 12 ud.</x:t>
  </x:si>
  <x:si>
    <x:t xml:space="preserve">Sonda de aspiración 14 ud.</x:t>
  </x:si>
  <x:si>
    <x:t xml:space="preserve">Sonda de aspiración 16 ud.</x:t>
  </x:si>
  <x:si>
    <x:t xml:space="preserve">Sonda de aspiración Nª 20 ud.</x:t>
  </x:si>
  <x:si>
    <x:t xml:space="preserve">Sonda Foley 10 latex-cubierta de silicona ud.</x:t>
  </x:si>
  <x:si>
    <x:t xml:space="preserve">Sonda Foley 12 latex-cubierta de silicona ud.</x:t>
  </x:si>
  <x:si>
    <x:t xml:space="preserve">Sonda Foley 14 latex-cubierta de silicona ud.</x:t>
  </x:si>
  <x:si>
    <x:t xml:space="preserve">Sonda Foley 16 latex-cubierta de silicona ud.</x:t>
  </x:si>
  <x:si>
    <x:t xml:space="preserve">Sonda Foley 18 latex-cubierta de silicona ud.</x:t>
  </x:si>
  <x:si>
    <x:t xml:space="preserve">Sonda Foley 20 latex-cubierta de silicona ud.</x:t>
  </x:si>
  <x:si>
    <x:t xml:space="preserve">Sonda Foley 22 latex-cubierta de silicona ud.</x:t>
  </x:si>
  <x:si>
    <x:t xml:space="preserve">Sonda Foley 24 latex-cubierta de silicona ud.</x:t>
  </x:si>
  <x:si>
    <x:t xml:space="preserve">Sonda levin nasogastrica  8 FR. ud.</x:t>
  </x:si>
  <x:si>
    <x:t xml:space="preserve">Sonda levin nasogastrica 10 ud.</x:t>
  </x:si>
  <x:si>
    <x:t xml:space="preserve">Sonda levin nasogastrica 12 ud.</x:t>
  </x:si>
  <x:si>
    <x:t xml:space="preserve">Sonda levin nasogastrica 14 ud.</x:t>
  </x:si>
  <x:si>
    <x:t xml:space="preserve">Sonda levin nasogastrica 16 ud.</x:t>
  </x:si>
  <x:si>
    <x:t xml:space="preserve">Sonda levin nasogastrica 18 ud.</x:t>
  </x:si>
  <x:si>
    <x:t xml:space="preserve">Sonda nelaton Nª 6 ud.</x:t>
  </x:si>
  <x:si>
    <x:t xml:space="preserve">Sonda nelaton Nª 8 ud.</x:t>
  </x:si>
  <x:si>
    <x:t xml:space="preserve">Sonda nelaton 10 ud.</x:t>
  </x:si>
  <x:si>
    <x:t xml:space="preserve">Sonda nelaton 12 ud.</x:t>
  </x:si>
  <x:si>
    <x:t xml:space="preserve">Sonda nelaton 14 ud.</x:t>
  </x:si>
  <x:si>
    <x:t xml:space="preserve">Sonda nelaton 16 ud.</x:t>
  </x:si>
  <x:si>
    <x:t xml:space="preserve">Suero Glucosa 10% Matraz 500ml ud</x:t>
  </x:si>
  <x:si>
    <x:t xml:space="preserve">Suero Glucosa 5 %  Matraz 500ml  ud.</x:t>
  </x:si>
  <x:si>
    <x:t xml:space="preserve">Suero Glucosa al 5% 250 ml ud.</x:t>
  </x:si>
  <x:si>
    <x:t xml:space="preserve">Suero glucosado 10% x 500 ml ud.</x:t>
  </x:si>
  <x:si>
    <x:t xml:space="preserve">Suero Ringer Lactato 500 ml ud.</x:t>
  </x:si>
  <x:si>
    <x:t xml:space="preserve">Sutura Nylon punta atraumatica 2/0 ud.</x:t>
  </x:si>
  <x:si>
    <x:t xml:space="preserve">Sutura Nylon punta atraumatica 3/0 ud.</x:t>
  </x:si>
  <x:si>
    <x:t xml:space="preserve">Sutura Nylon punta atraumatica 4/0 ud.</x:t>
  </x:si>
  <x:si>
    <x:t xml:space="preserve">Sutura Nylon punta atraumatica 5/0 ud.</x:t>
  </x:si>
  <x:si>
    <x:t xml:space="preserve">Sutura Nylon punta atraumatica 6/0 ud.</x:t>
  </x:si>
  <x:si>
    <x:t xml:space="preserve">Sutura Seda Negra 2/0 ud.</x:t>
  </x:si>
  <x:si>
    <x:t xml:space="preserve">Sutura Seda Negra 3/0 ud.</x:t>
  </x:si>
  <x:si>
    <x:t xml:space="preserve">Sutura Seda Negra 4/0 ud.</x:t>
  </x:si>
  <x:si>
    <x:t xml:space="preserve">Sutura Seda Negra 5/0 ud.</x:t>
  </x:si>
  <x:si>
    <x:t xml:space="preserve">Sutura Seda Negra 6/0 ud.</x:t>
  </x:si>
  <x:si>
    <x:t xml:space="preserve">Sutura Steri-Strip 6 mm x 38 mm verde ud.</x:t>
  </x:si>
  <x:si>
    <x:t xml:space="preserve">Sutura Vicryl 3/0 ud. ud.</x:t>
  </x:si>
  <x:si>
    <x:t xml:space="preserve">Sutura Vicryl 4/0 ud. ud.</x:t>
  </x:si>
  <x:si>
    <x:t xml:space="preserve">Sutura Vicryl 5/0 ud.</x:t>
  </x:si>
  <x:si>
    <x:t xml:space="preserve">607</x:t>
  </x:si>
  <x:si>
    <x:t xml:space="preserve">Sutura Vicryl 6/0 ud.</x:t>
  </x:si>
  <x:si>
    <x:t xml:space="preserve">Tapa amarilla heparinizada ud.</x:t>
  </x:si>
  <x:si>
    <x:t xml:space="preserve">Tela papel  2.5 cm x 9.1 mts  UNIDAD</x:t>
  </x:si>
  <x:si>
    <x:t xml:space="preserve">Tela papel 5 cm x 9.1 mts   UNIDAD</x:t>
  </x:si>
  <x:si>
    <x:t xml:space="preserve">Tela Transpore 2,5 cm x 9,1 mts ud.</x:t>
  </x:si>
  <x:si>
    <x:t xml:space="preserve">Tela Transpore 5 cm x 9,1 mts ud.</x:t>
  </x:si>
  <x:si>
    <x:t xml:space="preserve">Termómetro clínico digital   UNIDAD</x:t>
  </x:si>
  <x:si>
    <x:t xml:space="preserve">Termometro Digital a distancia   UNIDAD</x:t>
  </x:si>
  <x:si>
    <x:t xml:space="preserve">Termómetro max-min  -30  a  + 50°  ud.</x:t>
  </x:si>
  <x:si>
    <x:t xml:space="preserve">TEST DE ORINA 5D PANEL (Test Droga) (COC, THC, BZO, OPI Y AMP )  25 OTROS</x:t>
  </x:si>
  <x:si>
    <x:t xml:space="preserve">Test de orina Ketamina</x:t>
  </x:si>
  <x:si>
    <x:t xml:space="preserve">TEST Rapido Antigeno COVID   UNIDAD</x:t>
  </x:si>
  <x:si>
    <x:t xml:space="preserve">Tinta en Cinta trasfer. Termica Cera 110x74 Out para Impres. Zebra modelo GC420T</x:t>
  </x:si>
  <x:si>
    <x:t xml:space="preserve">TINTA ETIQUETADORA AUTOCLAVE   UNIDAD</x:t>
  </x:si>
  <x:si>
    <x:t xml:space="preserve">Torulas algodón granel 0,5 gr. ud.</x:t>
  </x:si>
  <x:si>
    <x:t xml:space="preserve">Traje Bioseguridad Desechable con cinta reflectaria ud</x:t>
  </x:si>
  <x:si>
    <x:t xml:space="preserve">Tubo endotraqueal 2 ud.</x:t>
  </x:si>
  <x:si>
    <x:t xml:space="preserve">Tubo endotraqueal 2.5 ud.</x:t>
  </x:si>
  <x:si>
    <x:t xml:space="preserve">Tubo endotraqueal 3.0 ud.</x:t>
  </x:si>
  <x:si>
    <x:t xml:space="preserve">Tubo endotraqueal 3.5 ud.</x:t>
  </x:si>
  <x:si>
    <x:t xml:space="preserve">Tubo endotraqueal 4.0 ud.</x:t>
  </x:si>
  <x:si>
    <x:t xml:space="preserve">Tubo endotraqueal 4.5 ud.</x:t>
  </x:si>
  <x:si>
    <x:t xml:space="preserve">Tubo endotraqueal 5.5 ud.</x:t>
  </x:si>
  <x:si>
    <x:t xml:space="preserve">Tubo endotraqueal 6.5 ud.</x:t>
  </x:si>
  <x:si>
    <x:t xml:space="preserve">Tubo endotraqueal 7.5 ud.</x:t>
  </x:si>
  <x:si>
    <x:t xml:space="preserve">Tubo endotraqueal 8 ud.</x:t>
  </x:si>
  <x:si>
    <x:t xml:space="preserve">Tubo endotraqueal 8.5 ud.</x:t>
  </x:si>
  <x:si>
    <x:t xml:space="preserve">Tubo endotraqueal 9 ud.</x:t>
  </x:si>
  <x:si>
    <x:t xml:space="preserve">Tubo endotraqueal 9,5  ud.</x:t>
  </x:si>
  <x:si>
    <x:t xml:space="preserve">Tubo Vacutain con Torula (CTM) (Covid-19 PCR) (S.S.M.S.) UD.</x:t>
  </x:si>
  <x:si>
    <x:t xml:space="preserve">Tubos BD Vacutainer Tapa Amarilla de Tamizaje de Hepatitis "B" Ud.</x:t>
  </x:si>
  <x:si>
    <x:t xml:space="preserve">Válvula de Entrenamiento Muscular</x:t>
  </x:si>
  <x:si>
    <x:t xml:space="preserve">Venda elastica 10 x 4 ud.</x:t>
  </x:si>
  <x:si>
    <x:t xml:space="preserve">Venda elastica 8 x 4 ud.</x:t>
  </x:si>
  <x:si>
    <x:t xml:space="preserve">Zapato Descarga Cuidado de Heridas  L Ud. (1 Zapato + 1 Plantilla)</x:t>
  </x:si>
  <x:si>
    <x:t xml:space="preserve">Zapato Descarga Cuidado de Heridas  XL Ud. (1 Zapato + 1 Plantilla)</x:t>
  </x:si>
  <x:si>
    <x:t xml:space="preserve">Zapato Descarga Cuidado de Heridas M Ud. (1 Zapato + 1 Plantilla)</x:t>
  </x:si>
  <x:si>
    <x:t xml:space="preserve">Zapato Descarga Cuidado de Heridas S Ud. (1 Zapato + 1 Plantilla)</x:t>
  </x:si>
  <x:si>
    <x:t xml:space="preserve">Zapato Descarga de Antepie Abierto N° M Ud.</x:t>
  </x:si>
  <x:si>
    <x:t xml:space="preserve">Zapato Descarga de Antepie Abierto N° S Ud.</x:t>
  </x:si>
  <x:si>
    <x:t xml:space="preserve">Zapato Descarga de Antepie Abierto N° XL Ud.</x:t>
  </x:si>
  <x:si>
    <x:t xml:space="preserve">Zapato Descarga de Antepie Abierto Talla L  Ud.</x:t>
  </x:si>
  <x:si>
    <x:t xml:space="preserve">Zapato Descarga de Retropie Cerrrado N° L Ud.</x:t>
  </x:si>
  <x:si>
    <x:t xml:space="preserve">Zapato Descarga de Retropie Cerrrado N° M Ud.</x:t>
  </x:si>
  <x:si>
    <x:t xml:space="preserve">Zapato Descarga de Retropie Cerrrado N° S Ud.</x:t>
  </x:si>
  <x:si>
    <x:t xml:space="preserve">Zapato Descarga de Retropie Cerrrado N° XL Ud.</x:t>
  </x:si>
  <x:si>
    <x:t xml:space="preserve">DENTAL</x:t>
  </x:si>
  <x:si>
    <x:t xml:space="preserve">Aceite turbina spray nsk fco.</x:t>
  </x:si>
  <x:si>
    <x:t xml:space="preserve">Acido Ortofosforico Gel 3grs Composite   FRASCOS</x:t>
  </x:si>
  <x:si>
    <x:t xml:space="preserve">ADHESIVO Resina para Composite</x:t>
  </x:si>
  <x:si>
    <x:t xml:space="preserve">Aguja Dental Corta Ud.</x:t>
  </x:si>
  <x:si>
    <x:t xml:space="preserve">Aguja Dental Larga Ud.</x:t>
  </x:si>
  <x:si>
    <x:t xml:space="preserve">Alcohol de Quemar 1.000 cc Lts.</x:t>
  </x:si>
  <x:si>
    <x:t xml:space="preserve">Anestesia c / vaso constrictor 2% UD.</x:t>
  </x:si>
  <x:si>
    <x:t xml:space="preserve">Anestesia s /vaso constrictor 3%  ud.</x:t>
  </x:si>
  <x:si>
    <x:t xml:space="preserve">Anestesia topica 20 %</x:t>
  </x:si>
  <x:si>
    <x:t xml:space="preserve">Antiseptico PMCFA (Paramonoclorofenol alcanforado)</x:t>
  </x:si>
  <x:si>
    <x:t xml:space="preserve">Banda porta matriz 5 mm. Ud</x:t>
  </x:si>
  <x:si>
    <x:t xml:space="preserve">Banda porta matriz 7 mm. Ud.</x:t>
  </x:si>
  <x:si>
    <x:t xml:space="preserve">Barniz de Fluoruro de sodio al 5% (Programa) ud.</x:t>
  </x:si>
  <x:si>
    <x:t xml:space="preserve">Caviwipes Toallas X 160   POTE</x:t>
  </x:si>
  <x:si>
    <x:t xml:space="preserve">Cemento oxifosfato kit.</x:t>
  </x:si>
  <x:si>
    <x:t xml:space="preserve">Cemento Temp. Obt. Fermin 40 grs.</x:t>
  </x:si>
  <x:si>
    <x:t xml:space="preserve">Cepillo dental adulto (GES EMBARAZADA)  UNIDAD</x:t>
  </x:si>
  <x:si>
    <x:t xml:space="preserve">Cepillo Dental Adulto Suave Ud.</x:t>
  </x:si>
  <x:si>
    <x:t xml:space="preserve">Cepillo dental para niños  (tipo dedal)  UNIDAD</x:t>
  </x:si>
  <x:si>
    <x:t xml:space="preserve">Cepillo Dental Suave Infantil    UNIDAD</x:t>
  </x:si>
  <x:si>
    <x:t xml:space="preserve">Cepillo Infantil  GES 6 años Ud.</x:t>
  </x:si>
  <x:si>
    <x:t xml:space="preserve">Cepillo infantil sembrando sonrisas ( 2 a 5) ud.  UNIDAD</x:t>
  </x:si>
  <x:si>
    <x:t xml:space="preserve">Cepillo para Protesis Dental GES 60 año ud.</x:t>
  </x:si>
  <x:si>
    <x:t xml:space="preserve">Cepillo Suave GES 60 años ud.</x:t>
  </x:si>
  <x:si>
    <x:t xml:space="preserve">Clorhexidina  0,12% (250 o 120 ml)   Fco.  UNIDAD</x:t>
  </x:si>
  <x:si>
    <x:t xml:space="preserve">Clorhexidina 1,2 % Oralgene Bd, 3,8 lts.</x:t>
  </x:si>
  <x:si>
    <x:t xml:space="preserve">Composite FilteK FLOW Z350 XT A3 UD.</x:t>
  </x:si>
  <x:si>
    <x:t xml:space="preserve">Composite Jeringas A2 Ud.</x:t>
  </x:si>
  <x:si>
    <x:t xml:space="preserve">Composite Jeringas A3 Ud.</x:t>
  </x:si>
  <x:si>
    <x:t xml:space="preserve">Composite Jeringas A3,5 Ud.</x:t>
  </x:si>
  <x:si>
    <x:t xml:space="preserve">Composite Jeringas B2 Ud.</x:t>
  </x:si>
  <x:si>
    <x:t xml:space="preserve">Composite Jeringas C2 Ud.</x:t>
  </x:si>
  <x:si>
    <x:t xml:space="preserve">Cresophene Solucion para uso Dental 13 ml. Fco.</x:t>
  </x:si>
  <x:si>
    <x:t xml:space="preserve">Cuñas maderas ud.</x:t>
  </x:si>
  <x:si>
    <x:t xml:space="preserve">Disco Soflex 1982C Grueso 3M  Ud.</x:t>
  </x:si>
  <x:si>
    <x:t xml:space="preserve">Disco Soflex 1982F Fino 3M Ud.</x:t>
  </x:si>
  <x:si>
    <x:t xml:space="preserve">Disco Soflex 1982M Mediano 3M Ud.</x:t>
  </x:si>
  <x:si>
    <x:t xml:space="preserve">Disco Soflex Difer. Medidas ud.</x:t>
  </x:si>
  <x:si>
    <x:t xml:space="preserve">Disco Soflex Kit 240 un + Mandril Kit.</x:t>
  </x:si>
  <x:si>
    <x:t xml:space="preserve">Dycalero ud.</x:t>
  </x:si>
  <x:si>
    <x:t xml:space="preserve">Escobilla limpia fresa ud.</x:t>
  </x:si>
  <x:si>
    <x:t xml:space="preserve">Escobillas C/A Blanda ud.</x:t>
  </x:si>
  <x:si>
    <x:t xml:space="preserve">Escobillas C/A Dura ud.</x:t>
  </x:si>
  <x:si>
    <x:t xml:space="preserve">Espatulas Cemento Yeso ud.</x:t>
  </x:si>
  <x:si>
    <x:t xml:space="preserve">Espatulas para composite ud.</x:t>
  </x:si>
  <x:si>
    <x:t xml:space="preserve">Espejos dentales ud.</x:t>
  </x:si>
  <x:si>
    <x:t xml:space="preserve">Eugenol fco.</x:t>
  </x:si>
  <x:si>
    <x:t xml:space="preserve">Eyectores desechables ud.</x:t>
  </x:si>
  <x:si>
    <x:t xml:space="preserve">Fluor de Enjuague Bucal 0,05 x 250 ml Fco.</x:t>
  </x:si>
  <x:si>
    <x:t xml:space="preserve">Fluoruro Diamino de Plata  Fco.</x:t>
  </x:si>
  <x:si>
    <x:t xml:space="preserve">Formocresol fco. 10 cc herts.</x:t>
  </x:si>
  <x:si>
    <x:t xml:space="preserve">Gelita plata ( hemostatico ) ud.</x:t>
  </x:si>
  <x:si>
    <x:t xml:space="preserve">Hemostatico liquido fco.</x:t>
  </x:si>
  <x:si>
    <x:t xml:space="preserve">Hidroxido de calcio ( capsulas) fco. x30   FRASCOS</x:t>
  </x:si>
  <x:si>
    <x:t xml:space="preserve">Hidroxido de calcio ( dycal ) fco. Pasta</x:t>
  </x:si>
  <x:si>
    <x:t xml:space="preserve">Huincha celuloide Recta ud.</x:t>
  </x:si>
  <x:si>
    <x:t xml:space="preserve">Huincha lija metalica ud.</x:t>
  </x:si>
  <x:si>
    <x:t xml:space="preserve">Huincha lija papel ud.</x:t>
  </x:si>
  <x:si>
    <x:t xml:space="preserve">Lampara Fotocurado LED Inalambrica modelo KY-L012 A/B/C UD.</x:t>
  </x:si>
  <x:si>
    <x:t xml:space="preserve">Limas H Nº 15 - 40 25mm kit x 6 ud.</x:t>
  </x:si>
  <x:si>
    <x:t xml:space="preserve">Limas K Nº 15 - 40 25mm  kit x 6 ud.</x:t>
  </x:si>
  <x:si>
    <x:t xml:space="preserve">Mango para Espejos Dentales Nº 5 ud</x:t>
  </x:si>
  <x:si>
    <x:t xml:space="preserve">Mercurio fco. 100 g.</x:t>
  </x:si>
  <x:si>
    <x:t xml:space="preserve">Microaplicador para adhesivos Amarillo fino Ud.M (Ex. Multibrunch)</x:t>
  </x:si>
  <x:si>
    <x:t xml:space="preserve">Oxido de zinc 60 g. fco.</x:t>
  </x:si>
  <x:si>
    <x:t xml:space="preserve">Papel articular caja</x:t>
  </x:si>
  <x:si>
    <x:t xml:space="preserve">Pasta Alveolar (Alveogyl ) 10g. ud.</x:t>
  </x:si>
  <x:si>
    <x:t xml:space="preserve">Pasta dental adulto (GES Embarazada)  UNIDAD</x:t>
  </x:si>
  <x:si>
    <x:t xml:space="preserve">Pasta Dental Adulto Ud.</x:t>
  </x:si>
  <x:si>
    <x:t xml:space="preserve">Pasta Dental Fluor (caristop) 60 años ud.</x:t>
  </x:si>
  <x:si>
    <x:t xml:space="preserve">Pasta Dental GES 60 años ud.</x:t>
  </x:si>
  <x:si>
    <x:t xml:space="preserve">Pasta Dental Infantil Max. Ges 6 años tubos Ud.</x:t>
  </x:si>
  <x:si>
    <x:t xml:space="preserve">Pasta dental infantil sembrando sonrisas   UNIDAD</x:t>
  </x:si>
  <x:si>
    <x:t xml:space="preserve">Pasta Dental Infantil Ud.  (Saldos Prog. Anterior)</x:t>
  </x:si>
  <x:si>
    <x:t xml:space="preserve">Pasta profilactica ud.</x:t>
  </x:si>
  <x:si>
    <x:t xml:space="preserve">Pastilla Reveladora bacteriana cm.</x:t>
  </x:si>
  <x:si>
    <x:t xml:space="preserve">Pinceles Para Sellantes Ud.</x:t>
  </x:si>
  <x:si>
    <x:t xml:space="preserve">Porta amalgama grande ud.</x:t>
  </x:si>
  <x:si>
    <x:t xml:space="preserve">Porta Disco C/A ud.</x:t>
  </x:si>
  <x:si>
    <x:t xml:space="preserve">Porta Disco Soflex grueso (Mandriles) ud.</x:t>
  </x:si>
  <x:si>
    <x:t xml:space="preserve">Porta matriz universal ud.</x:t>
  </x:si>
  <x:si>
    <x:t xml:space="preserve">Punta desechable para jeringa triple   UNIDAD</x:t>
  </x:si>
  <x:si>
    <x:t xml:space="preserve">Punta Metálica para Jeringa Triple x 10 Ud.</x:t>
  </x:si>
  <x:si>
    <x:t xml:space="preserve">Seda dental  PROGRAMA MINISTERIAL  UNIDAD</x:t>
  </x:si>
  <x:si>
    <x:t xml:space="preserve">Seda Dental Adulto 60 Años ud.</x:t>
  </x:si>
  <x:si>
    <x:t xml:space="preserve">Seda Dental Embarazada   UNIDAD</x:t>
  </x:si>
  <x:si>
    <x:t xml:space="preserve">Sellante Fotocurado set. (Fissurit F) Ud.   JERINGA</x:t>
  </x:si>
  <x:si>
    <x:t xml:space="preserve">Set Revelador y Fijador Fco.</x:t>
  </x:si>
  <x:si>
    <x:t xml:space="preserve">Sonda curva ud</x:t>
  </x:si>
  <x:si>
    <x:t xml:space="preserve">Sonda recta ud</x:t>
  </x:si>
  <x:si>
    <x:t xml:space="preserve">Tiranervio 15 ZIPPERER Blanco x 10 ud.</x:t>
  </x:si>
  <x:si>
    <x:t xml:space="preserve">Tiranervio 20 ZIPPERER Amarillo x 10 ud.</x:t>
  </x:si>
  <x:si>
    <x:t xml:space="preserve">Tiranervio 25 ZIPPERER Rojo x 10 ud.</x:t>
  </x:si>
  <x:si>
    <x:t xml:space="preserve">Tiranervio 30 ZIPPERER Azul x 10 ud.</x:t>
  </x:si>
  <x:si>
    <x:t xml:space="preserve">Torulas de Algodón Lisa PRD Ud.</x:t>
  </x:si>
  <x:si>
    <x:t xml:space="preserve">Torulas de Algodón Trenzada  Ud.   UNIDAD</x:t>
  </x:si>
  <x:si>
    <x:t xml:space="preserve">Vasos Plásticos Desechables Dental  90cc Ud</x:t>
  </x:si>
  <x:si>
    <x:t xml:space="preserve">Vidrio ionomero Autocurado (Glassliner)</x:t>
  </x:si>
  <x:si>
    <x:t xml:space="preserve">Vidrio ionomero Autocurado (Ketac Molar) ud.</x:t>
  </x:si>
  <x:si>
    <x:t xml:space="preserve">Vidrio ionomero Autocurado Chemfill ud.</x:t>
  </x:si>
  <x:si>
    <x:t xml:space="preserve">Curación Avanzada</x:t>
  </x:si>
  <x:si>
    <x:t xml:space="preserve">Aposito Colageno EDTA + MMPS   Ud.</x:t>
  </x:si>
  <x:si>
    <x:t xml:space="preserve">Aposito con DACC  7 x 9cm   Ud.   PARCHES</x:t>
  </x:si>
  <x:si>
    <x:t xml:space="preserve">Aposito de alginato  Calcio laminas 10 x 10 ud.   PARCHES</x:t>
  </x:si>
  <x:si>
    <x:t xml:space="preserve">Aposito de Alginato + Plata 10 x 10cm   Ud.   PARCHES</x:t>
  </x:si>
  <x:si>
    <x:t xml:space="preserve">Aposito de alginato calcio mecha 2,7 x 34 ud.   PARCHES</x:t>
  </x:si>
  <x:si>
    <x:t xml:space="preserve">Aposito Hidrocoloide esteril  (Duo Derm Extra delgada) 10 x 10  Ud.   PARCHES</x:t>
  </x:si>
  <x:si>
    <x:t xml:space="preserve">Apositos de espuma hidrofilica 10 x 10   Ud.   PARCHES</x:t>
  </x:si>
  <x:si>
    <x:t xml:space="preserve">Apositos Tull  + Plata 10 x 12  ud.</x:t>
  </x:si>
  <x:si>
    <x:t xml:space="preserve">Apositos Tull silicona 10 x 10</x:t>
  </x:si>
  <x:si>
    <x:t xml:space="preserve">Hidrogel amorfo 15 gr  TUBOS</x:t>
  </x:si>
  <x:si>
    <x:t xml:space="preserve">Protector  Cutaneo  Spray 28 ml  (Cavilon o Similar) Ud.</x:t>
  </x:si>
  <x:si>
    <x:t xml:space="preserve">Solución con polihexanida con betaína (Prontosan).  GEL 30 ml ud.</x:t>
  </x:si>
  <x:si>
    <x:t xml:space="preserve">Solución con polihexanida con betaína (Prontosan). 350 ml ud.</x:t>
  </x:si>
  <x:si>
    <x:t xml:space="preserve">Urgoderm / Fixomull stretch 10 x 10 cm</x:t>
  </x:si>
  <x:si>
    <x:t xml:space="preserve">Vendaje de  Gasa Parafinada  10 x 10 ud.  Parche</x:t>
  </x:si>
  <x:si>
    <x:t xml:space="preserve">(Anulette) Levonorgestrel 0,15mg / Etinilestradiol 0,03mg Recubierto Cm.  ( blister 28cm )  CICLOS</x:t>
  </x:si>
  <x:si>
    <x:t xml:space="preserve">Anticonceptivo de emergencia. 0,75 mg o 1,5 mg  COMPRIMIDOS</x:t>
  </x:si>
  <x:si>
    <x:t xml:space="preserve">Estradiol gel 0,5 mg/ dosis   FRASCOS</x:t>
  </x:si>
  <x:si>
    <x:t xml:space="preserve">Estradiol Micronizado ciclo 1 mg.  COMPRIMIDOS</x:t>
  </x:si>
  <x:si>
    <x:t xml:space="preserve">Estradiol/Didrogesterona   1mg/5mg ud.</x:t>
  </x:si>
  <x:si>
    <x:t xml:space="preserve">Etonogestrel implante subcutaneo 68 mg  UNIDAD</x:t>
  </x:si>
  <x:si>
    <x:t xml:space="preserve">Etonogestrel/Etinilestradiol  11,7mg/2,7mg (Anillo Vaginal)  Sobre ud.</x:t>
  </x:si>
  <x:si>
    <x:t xml:space="preserve">Levonorgestrel  (Anulit) 0,03mg.  CICLOS</x:t>
  </x:si>
  <x:si>
    <x:t xml:space="preserve">Levonorgestrel Dispositivo Intrauterino 20mcg/24 hrs. (Mirena)   52mg</x:t>
  </x:si>
  <x:si>
    <x:t xml:space="preserve">Levonorgestrel implante subdérmico + Trocar 2x75 mg  OTROS</x:t>
  </x:si>
  <x:si>
    <x:t xml:space="preserve">Lubricante acuoso (Prog. salud Sexual y Reproductiva) POMO</x:t>
  </x:si>
  <x:si>
    <x:t xml:space="preserve">Medroxiprogesterona Acetato 150 mg./1 ml. 150mg/1ml  JERINGA</x:t>
  </x:si>
  <x:si>
    <x:t xml:space="preserve">Medroxiprogesterona Acetato Susp. Inyectable (Sayana ) 104 mg/0.65 ml  JERINGA</x:t>
  </x:si>
  <x:si>
    <x:t xml:space="preserve">Medroxiprogesterona/Estradiol (Novafem Jeringa) 25/5 mg  JERINGA</x:t>
  </x:si>
  <x:si>
    <x:t xml:space="preserve">Nomegestrol  5 mg  COMPRIMIDOS</x:t>
  </x:si>
  <x:si>
    <x:t xml:space="preserve">Noretisterona/ Estradiol (Climaterio) 0,5/ 1mg Cm.</x:t>
  </x:si>
  <x:si>
    <x:t xml:space="preserve">Noretisterona/Estradiol (Mesigyna) 50/5 mg   JERINGA</x:t>
  </x:si>
  <x:si>
    <x:t xml:space="preserve">Preservativo Femenino   Ud.</x:t>
  </x:si>
  <x:si>
    <x:t xml:space="preserve">Preservativos resistente , C/Lubricante a base solucion acuosa o silicona ud.</x:t>
  </x:si>
  <x:si>
    <x:t xml:space="preserve">Progesterona Micronizada  100 mg  CICLOS</x:t>
  </x:si>
  <x:si>
    <x:t xml:space="preserve">T  de Cobre Modelo 380A   UNIDAD</x:t>
  </x:si>
  <x:si>
    <x:t xml:space="preserve">Test de Embarazo en orina   OTROS</x:t>
  </x:si>
  <x:si>
    <x:t xml:space="preserve">Test VIH  (Sida)  Ud.</x:t>
  </x:si>
  <x:si>
    <x:t xml:space="preserve">Tibolona   2,5 mg  COMPRIMIDOS</x:t>
  </x:si>
</x:sst>
</file>

<file path=xl/styles.xml><?xml version="1.0" encoding="utf-8"?>
<x:styleSheet xmlns:x="http://schemas.openxmlformats.org/spreadsheetml/2006/main">
  <x:numFmts count="1">
    <x:numFmt numFmtId="41" formatCode="_ * #,##0_ ;_ * \-#,##0_ ;_ * &quot;-&quot;_ ;_ @_ "/>
  </x:numFmts>
  <x:fonts count="24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name val="Calibri"/>
    </x:font>
    <x:font>
      <x:b/>
      <x:sz val="10"/>
      <x:color theme="1"/>
      <x:name val="Calibri"/>
    </x:font>
    <x:font>
      <x:sz val="9"/>
      <x:color theme="1"/>
      <x:name val="Calibri"/>
    </x:font>
    <x:font>
      <x:sz val="8"/>
      <x:color theme="1"/>
      <x:name val="Calibri"/>
    </x:font>
    <x:font>
      <x:sz val="10"/>
      <x:color theme="1"/>
      <x:name val="Calibri"/>
    </x:font>
    <x:font>
      <x:b/>
      <x:sz val="11"/>
      <x:color rgb="FF00000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1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41" fontId="1" fillId="0" borderId="0" applyFont="0" applyFill="0" applyBorder="0" applyAlignment="0" applyProtection="0"/>
  </x:cellStyleXfs>
  <x:cellXfs count="34">
    <x:xf numFmtId="0" fontId="0" fillId="0" borderId="0" xfId="0"/>
    <x:xf numFmtId="0" fontId="16" fillId="33" borderId="0" xfId="0" applyFont="1" applyFill="1" applyAlignment="1">
      <x:alignment vertical="center"/>
    </x:xf>
    <x:xf numFmtId="0" fontId="0" fillId="33" borderId="0" xfId="0" applyFill="1"/>
    <x:xf numFmtId="0" fontId="16" fillId="33" borderId="10" xfId="0" applyFont="1" applyFill="1" applyBorder="1"/>
    <x:xf numFmtId="0" fontId="18" fillId="34" borderId="11" xfId="0" applyFont="1" applyFill="1" applyBorder="1"/>
    <x:xf numFmtId="0" fontId="18" fillId="34" borderId="12" xfId="0" applyFont="1" applyFill="1" applyBorder="1" applyAlignment="1">
      <x:alignment wrapText="1"/>
    </x:xf>
    <x:xf numFmtId="0" fontId="18" fillId="34" borderId="12" xfId="0" applyFont="1" applyFill="1" applyBorder="1"/>
    <x:xf numFmtId="0" fontId="18" fillId="34" borderId="13" xfId="0" applyFont="1" applyFill="1" applyBorder="1"/>
    <x:xf numFmtId="0" fontId="0" fillId="33" borderId="10" xfId="0" applyFill="1" applyBorder="1"/>
    <x:xf numFmtId="0" fontId="0" fillId="33" borderId="10" xfId="0" applyFill="1" applyBorder="1" applyAlignment="1">
      <x:alignment wrapText="1"/>
    </x:xf>
    <x:xf numFmtId="0" fontId="0" fillId="33" borderId="0" xfId="0" applyFill="1" applyAlignment="1">
      <x:alignment wrapText="1"/>
    </x:xf>
    <x:xf numFmtId="1" fontId="0" fillId="33" borderId="14" xfId="0" applyNumberFormat="1" applyFill="1" applyBorder="1"/>
    <x:xf numFmtId="1" fontId="0" fillId="33" borderId="10" xfId="0" applyNumberFormat="1" applyFill="1" applyBorder="1"/>
    <x:xf numFmtId="0" fontId="20" fillId="33" borderId="10" xfId="0" applyFont="1" applyFill="1" applyBorder="1"/>
    <x:xf numFmtId="0" fontId="21" fillId="33" borderId="10" xfId="0" applyFont="1" applyFill="1" applyBorder="1"/>
    <x:xf numFmtId="1" fontId="0" fillId="33" borderId="14" xfId="0" applyNumberFormat="1" applyFill="1" applyBorder="1"/>
    <x:xf numFmtId="1" fontId="0" fillId="33" borderId="10" xfId="0" applyNumberFormat="1" applyFill="1" applyBorder="1"/>
    <x:xf numFmtId="49" fontId="0" fillId="33" borderId="10" xfId="0" applyNumberFormat="1" applyFill="1" applyBorder="1"/>
    <x:xf numFmtId="49" fontId="0" fillId="33" borderId="10" xfId="0" applyNumberFormat="1" applyFill="1" applyBorder="1" applyAlignment="1">
      <x:alignment wrapText="1"/>
    </x:xf>
    <x:xf numFmtId="3" fontId="0" fillId="33" borderId="10" xfId="0" applyNumberFormat="1" applyFill="1" applyBorder="1"/>
    <x:xf numFmtId="41" fontId="16" fillId="33" borderId="10" xfId="42" applyFont="1" applyFill="1" applyBorder="1"/>
    <x:xf numFmtId="0" fontId="20" fillId="0" borderId="0" xfId="0" applyFont="1"/>
    <x:xf numFmtId="0" fontId="22" fillId="33" borderId="10" xfId="0" applyFont="1" applyFill="1" applyBorder="1"/>
    <x:xf numFmtId="1" fontId="0" fillId="0" borderId="10" xfId="0" applyNumberFormat="1" applyBorder="1"/>
    <x:xf numFmtId="41" fontId="0" fillId="0" borderId="10" xfId="0" applyNumberFormat="1" applyBorder="1"/>
    <x:xf numFmtId="0" fontId="0" fillId="33" borderId="10" xfId="0" applyFill="1" applyBorder="1" applyAlignment="1">
      <x:alignment vertical="center" wrapText="1"/>
    </x:xf>
    <x:xf numFmtId="3" fontId="1" fillId="33" borderId="10" xfId="0" applyNumberFormat="1" applyFont="1" applyFill="1" applyBorder="1"/>
    <x:xf numFmtId="1" fontId="1" fillId="33" borderId="10" xfId="0" applyNumberFormat="1" applyFont="1" applyFill="1" applyBorder="1"/>
    <x:xf numFmtId="1" fontId="23" fillId="36" borderId="10" xfId="0" applyNumberFormat="1" applyFont="1" applyFill="1" applyBorder="1"/>
    <x:xf numFmtId="1" fontId="23" fillId="36" borderId="10" xfId="0" applyNumberFormat="1" applyFont="1" applyFill="1" applyBorder="1"/>
    <x:xf numFmtId="0" fontId="0" fillId="33" borderId="0" xfId="0" applyFill="1" applyAlignment="1">
      <x:alignment horizontal="center"/>
    </x:xf>
    <x:xf numFmtId="0" fontId="16" fillId="33" borderId="0" xfId="0" applyFont="1" applyFill="1" applyAlignment="1">
      <x:alignment horizontal="center" vertical="center"/>
    </x:xf>
    <x:xf numFmtId="0" fontId="19" fillId="35" borderId="10" xfId="0" applyFont="1" applyFill="1" applyBorder="1" applyAlignment="1">
      <x:alignment horizontal="center"/>
    </x:xf>
    <x:xf numFmtId="14" fontId="16" fillId="35" borderId="10" xfId="0" applyNumberFormat="1" applyFont="1" applyFill="1" applyBorder="1" applyAlignment="1">
      <x:alignment horizontal="center"/>
    </x:xf>
  </x:cellXfs>
  <x:cellStyles count="43">
    <x:cellStyle name="20% - Énfasis1" xfId="19"/>
    <x:cellStyle name="20% - Énfasis2" xfId="23"/>
    <x:cellStyle name="20% - Énfasis3" xfId="27"/>
    <x:cellStyle name="20% - Énfasis4" xfId="31"/>
    <x:cellStyle name="20% - Énfasis5" xfId="35"/>
    <x:cellStyle name="20% - Énfasis6" xfId="39"/>
    <x:cellStyle name="40% - Énfasis1" xfId="20"/>
    <x:cellStyle name="40% - Énfasis2" xfId="24"/>
    <x:cellStyle name="40% - Énfasis3" xfId="28"/>
    <x:cellStyle name="40% - Énfasis4" xfId="32"/>
    <x:cellStyle name="40% - Énfasis5" xfId="36"/>
    <x:cellStyle name="40% - Énfasis6" xfId="40"/>
    <x:cellStyle name="60% - Énfasis1" xfId="21"/>
    <x:cellStyle name="60% - Énfasis2" xfId="25"/>
    <x:cellStyle name="60% - Énfasis3" xfId="29"/>
    <x:cellStyle name="60% - Énfasis4" xfId="33"/>
    <x:cellStyle name="60% - Énfasis5" xfId="37"/>
    <x:cellStyle name="60% - Énfasis6" xfId="41"/>
    <x:cellStyle name="Bueno" xfId="6"/>
    <x:cellStyle name="Cálculo" xfId="11"/>
    <x:cellStyle name="Celda de comprobación" xfId="13"/>
    <x:cellStyle name="Celda vinculada" xfId="12"/>
    <x:cellStyle name="Encabezado 1" xfId="2"/>
    <x:cellStyle name="Encabezado 4" xfId="5"/>
    <x:cellStyle name="Énfasis1" xfId="18"/>
    <x:cellStyle name="Énfasis2" xfId="22"/>
    <x:cellStyle name="Énfasis3" xfId="26"/>
    <x:cellStyle name="Énfasis4" xfId="30"/>
    <x:cellStyle name="Énfasis5" xfId="34"/>
    <x:cellStyle name="Énfasis6" xfId="38"/>
    <x:cellStyle name="Entrada" xfId="9"/>
    <x:cellStyle name="Incorrecto" xfId="7"/>
    <x:cellStyle name="Millares [0]" xfId="42"/>
    <x:cellStyle name="Neutral" xfId="8"/>
    <x:cellStyle name="Normal" xfId="0"/>
    <x:cellStyle name="Notas" xfId="15"/>
    <x:cellStyle name="Salida" xfId="10"/>
    <x:cellStyle name="Texto de advertencia" xfId="14"/>
    <x:cellStyle name="Texto explicativo" xfId="16"/>
    <x:cellStyle name="Título" xfId="1"/>
    <x:cellStyle name="Título 2" xfId="3"/>
    <x:cellStyle name="Título 3" xfId="4"/>
    <x:cellStyle name="Total" xfId="17"/>
  </x:cellStyles>
  <x:dxfs count="65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33" formatCode="_ * #,##0_ ;_ * \-#,##0_ ;_ * &quot;-&quot;_ ;_ @_ 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rgb="FF000000"/>
        </x:top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u val="none"/>
        <x:sz val="11"/>
        <x:color rgb="FF000000"/>
        <x:name val="Calibri"/>
        <x:scheme val="none"/>
      </x:font>
      <x:fill>
        <x:patternFill patternType="solid">
          <x:bgColor rgb="FFFFFFFF"/>
        </x:patternFill>
      </x:fill>
    </x:dxf>
    <x:dxf>
      <x:border>
        <x:bottom style="thin">
          <x:color rgb="FF000000"/>
        </x:bottom>
      </x:border>
    </x:dxf>
    <x:dxf>
      <x:font>
        <x:b/>
        <x:u val="none"/>
        <x:sz val="11"/>
        <x:color auto="1"/>
        <x:name val="Calibri"/>
        <x:scheme val="minor"/>
      </x:font>
      <x:fill>
        <x:patternFill>
          <x:bgColor theme="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33" formatCode="_ * #,##0_ ;_ * \-#,##0_ ;_ * &quot;-&quot;_ ;_ @_ 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rgb="FF000000"/>
        </x:top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u val="none"/>
        <x:sz val="11"/>
        <x:color rgb="FF000000"/>
        <x:name val="Calibri"/>
        <x:scheme val="none"/>
      </x:font>
      <x:fill>
        <x:patternFill patternType="solid">
          <x:bgColor rgb="FFFFFFFF"/>
        </x:patternFill>
      </x:fill>
    </x:dxf>
    <x:dxf>
      <x:border>
        <x:bottom style="thin">
          <x:color rgb="FF000000"/>
        </x:bottom>
      </x:border>
    </x:dxf>
    <x:dxf>
      <x:font>
        <x:b/>
        <x:u val="none"/>
        <x:sz val="11"/>
        <x:color auto="1"/>
        <x:name val="Calibri"/>
        <x:scheme val="minor"/>
      </x:font>
      <x:fill>
        <x:patternFill>
          <x:bgColor theme="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33" formatCode="_ * #,##0_ ;_ * \-#,##0_ ;_ * &quot;-&quot;_ ;_ @_ 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rgb="FF000000"/>
        </x:top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u val="none"/>
        <x:sz val="11"/>
        <x:color rgb="FF000000"/>
        <x:name val="Calibri"/>
        <x:scheme val="none"/>
      </x:font>
      <x:fill>
        <x:patternFill patternType="solid">
          <x:bgColor rgb="FFFFFFFF"/>
        </x:patternFill>
      </x:fill>
    </x:dxf>
    <x:dxf>
      <x:border>
        <x:bottom style="thin">
          <x:color rgb="FF000000"/>
        </x:bottom>
      </x:border>
    </x:dxf>
    <x:dxf>
      <x:font>
        <x:b/>
        <x:u val="none"/>
        <x:sz val="11"/>
        <x:color auto="1"/>
        <x:name val="Calibri"/>
        <x:scheme val="minor"/>
      </x:font>
      <x:fill>
        <x:patternFill>
          <x:bgColor theme="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33" formatCode="_ * #,##0_ ;_ * \-#,##0_ ;_ * &quot;-&quot;_ ;_ @_ 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 patternType="solid">
          <x:bgColor theme="0"/>
        </x:patternFill>
      </x:fill>
    </x:dxf>
    <x:dxf>
      <x:border>
        <x:bottom style="thin">
          <x:color indexed="64"/>
        </x:bottom>
      </x:border>
    </x:dxf>
    <x:dxf>
      <x:font>
        <x:b/>
        <x:u val="none"/>
        <x:sz val="11"/>
        <x:color auto="1"/>
        <x:name val="Calibri"/>
        <x:scheme val="minor"/>
      </x:font>
      <x:fill>
        <x:patternFill>
          <x:bgColor theme="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33" formatCode="_ * #,##0_ ;_ * \-#,##0_ ;_ * &quot;-&quot;_ ;_ @_ 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numFmt numFmtId="1" formatCode="0"/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rgb="FF000000"/>
        </x:top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u val="none"/>
        <x:sz val="11"/>
        <x:color rgb="FF000000"/>
        <x:name val="Calibri"/>
        <x:scheme val="none"/>
      </x:font>
      <x:fill>
        <x:patternFill patternType="solid">
          <x:bgColor rgb="FFFFFFFF"/>
        </x:patternFill>
      </x:fill>
    </x:dxf>
    <x:dxf>
      <x:border>
        <x:bottom style="thin">
          <x:color rgb="FF000000"/>
        </x:bottom>
      </x:border>
    </x:dxf>
    <x:dxf>
      <x:font>
        <x:b/>
        <x:u val="none"/>
        <x:sz val="11"/>
        <x:color auto="1"/>
        <x:name val="Calibri"/>
        <x:scheme val="minor"/>
      </x:font>
      <x:fill>
        <x:patternFill>
          <x:bgColor theme="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06e7492de4a9e" /><Relationship Type="http://schemas.openxmlformats.org/officeDocument/2006/relationships/theme" Target="/xl/theme/theme1.xml" Id="Re67314d4e8624b61" /><Relationship Type="http://schemas.openxmlformats.org/officeDocument/2006/relationships/sharedStrings" Target="/xl/sharedStrings.xml" Id="R4bc14350e1e74272" /><Relationship Type="http://schemas.openxmlformats.org/officeDocument/2006/relationships/worksheet" Target="/xl/worksheets/sheet1.xml" Id="R3637307498d64d18" /><Relationship Type="http://schemas.openxmlformats.org/officeDocument/2006/relationships/worksheet" Target="/xl/worksheets/sheet2.xml" Id="R6c2bc3ddc37d4b79" /><Relationship Type="http://schemas.openxmlformats.org/officeDocument/2006/relationships/worksheet" Target="/xl/worksheets/sheet3.xml" Id="R342a844010754546" /><Relationship Type="http://schemas.openxmlformats.org/officeDocument/2006/relationships/worksheet" Target="/xl/worksheets/sheet4.xml" Id="R9259a4e2ec3d4d58" /><Relationship Type="http://schemas.openxmlformats.org/officeDocument/2006/relationships/worksheet" Target="/xl/worksheets/sheet5.xml" Id="Rae5aec5af52a4f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a7b4e1df37342d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dcb80fafa6e4b8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e1effa5320d40b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1b860a67dfa4f4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49150dd6618f49b1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228600</xdr:colOff>
      <xdr:row>0</xdr:row>
      <xdr:rowOff>0</xdr:rowOff>
    </xdr:from>
    <xdr:to>
      <xdr:col>1</xdr:col>
      <xdr:colOff>23812</xdr:colOff>
      <xdr:row>3</xdr:row>
      <xdr:rowOff>144780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b4e1df37342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228600</xdr:colOff>
      <xdr:row>0</xdr:row>
      <xdr:rowOff>0</xdr:rowOff>
    </xdr:from>
    <xdr:to>
      <xdr:col>1</xdr:col>
      <xdr:colOff>23812</xdr:colOff>
      <xdr:row>3</xdr:row>
      <xdr:rowOff>144780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b80fafa6e4b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228600</xdr:colOff>
      <xdr:row>0</xdr:row>
      <xdr:rowOff>0</xdr:rowOff>
    </xdr:from>
    <xdr:to>
      <xdr:col>1</xdr:col>
      <xdr:colOff>23812</xdr:colOff>
      <xdr:row>3</xdr:row>
      <xdr:rowOff>144780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1effa5320d40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228600</xdr:colOff>
      <xdr:row>0</xdr:row>
      <xdr:rowOff>0</xdr:rowOff>
    </xdr:from>
    <xdr:to>
      <xdr:col>1</xdr:col>
      <xdr:colOff>23812</xdr:colOff>
      <xdr:row>3</xdr:row>
      <xdr:rowOff>144780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b860a67dfa4f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0</xdr:col>
      <xdr:colOff>228600</xdr:colOff>
      <xdr:row>0</xdr:row>
      <xdr:rowOff>0</xdr:rowOff>
    </xdr:from>
    <xdr:to>
      <xdr:col>1</xdr:col>
      <xdr:colOff>23812</xdr:colOff>
      <xdr:row>3</xdr:row>
      <xdr:rowOff>144780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150dd6618f49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6" name="Tabla27" displayName="Tabla27" ref="A5:G291" totalsRowShown="0" dataDxfId="62" headerRowBorderDxfId="63">
  <x:autoFilter ref="A5:G291"/>
  <x:sortState ref="A6:F332">
    <x:sortCondition ref="B1:B334"/>
  </x:sortState>
  <x:tableColumns count="7">
    <x:tableColumn id="1" name="TIPO" dataDxfId="59"/>
    <x:tableColumn id="2" name="PRODUCTO" dataDxfId="58"/>
    <x:tableColumn id="3" name="CONSUMO MENSUAL" dataDxfId="57"/>
    <x:tableColumn id="4" name="STOCK ACTUAL" dataDxfId="56"/>
    <x:tableColumn id="5" name="SOLICITUD TEORICA" dataDxfId="55">
      <x:calculatedColumnFormula>-(Tabla27[[#This Row],[STOCK ACTUAL]]-Tabla27[[#This Row],[CONSUMO MENSUAL]]*1.15)</x:calculatedColumnFormula>
    </x:tableColumn>
    <x:tableColumn id="7" name="SOLICITUD REAL" dataDxfId="54"/>
    <x:tableColumn id="6" name="ENTREGA DE BODEGA" dataDxfId="5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2" displayName="Tabla2" ref="A5:G346" totalsRowShown="0" dataDxfId="50" headerRowBorderDxfId="51">
  <x:autoFilter ref="A5:G346"/>
  <x:sortState ref="A6:G346">
    <x:sortCondition ref="B1:B334"/>
  </x:sortState>
  <x:tableColumns count="7">
    <x:tableColumn id="1" name="TIPO" dataDxfId="47"/>
    <x:tableColumn id="2" name="PRODUCTO" dataDxfId="46"/>
    <x:tableColumn id="3" name="CONSUMO MENSUAL" dataDxfId="45"/>
    <x:tableColumn id="4" name="STOCK ACTUAL" dataDxfId="44"/>
    <x:tableColumn id="5" name="SOLICITUD TEORICA" dataDxfId="43">
      <x:calculatedColumnFormula>-(Tabla2[[#This Row],[STOCK ACTUAL]]-Tabla2[[#This Row],[CONSUMO MENSUAL]]*1.15)</x:calculatedColumnFormula>
    </x:tableColumn>
    <x:tableColumn id="7" name="SOLICITUD REAL" dataDxfId="42"/>
    <x:tableColumn id="6" name="ENTREGA DE BODEGA" dataDxfId="4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Tabla26" displayName="Tabla26" ref="A5:G111" totalsRowShown="0" dataDxfId="38" headerRowBorderDxfId="39">
  <x:autoFilter ref="A5:G111"/>
  <x:sortState ref="A6:F332">
    <x:sortCondition ref="B1:B334"/>
  </x:sortState>
  <x:tableColumns count="7">
    <x:tableColumn id="1" name="TIPO" dataDxfId="35"/>
    <x:tableColumn id="2" name="PRODUCTO" dataDxfId="34"/>
    <x:tableColumn id="3" name="CONSUMO MENSUAL" dataDxfId="33"/>
    <x:tableColumn id="4" name="STOCK ACTUAL" dataDxfId="32"/>
    <x:tableColumn id="5" name="SOLICITUD TEORICA" dataDxfId="31">
      <x:calculatedColumnFormula>-(Tabla26[[#This Row],[STOCK ACTUAL]]-Tabla26[[#This Row],[CONSUMO MENSUAL]]*1.15)</x:calculatedColumnFormula>
    </x:tableColumn>
    <x:tableColumn id="7" name="SOLICITUD REAL" dataDxfId="30"/>
    <x:tableColumn id="6" name="ENTREGA DE BODEGA" dataDxfId="29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25" displayName="Tabla25" ref="A5:G25" totalsRowShown="0" dataDxfId="26" headerRowBorderDxfId="27">
  <x:autoFilter ref="A5:G25"/>
  <x:sortState ref="A6:F332">
    <x:sortCondition ref="B1:B334"/>
  </x:sortState>
  <x:tableColumns count="7">
    <x:tableColumn id="1" name="TIPO" dataDxfId="23"/>
    <x:tableColumn id="2" name="PRODUCTO" dataDxfId="22"/>
    <x:tableColumn id="3" name="CONSUMO MENSUAL" dataDxfId="21"/>
    <x:tableColumn id="4" name="STOCK ACTUAL" dataDxfId="20"/>
    <x:tableColumn id="5" name="SOLICITUD TEORICA" dataDxfId="19">
      <x:calculatedColumnFormula>-(Tabla25[[#This Row],[STOCK ACTUAL]]-Tabla25[[#This Row],[CONSUMO MENSUAL]]*1.15)</x:calculatedColumnFormula>
    </x:tableColumn>
    <x:tableColumn id="7" name="SOLICITUD REAL" dataDxfId="18"/>
    <x:tableColumn id="6" name="ENTREGA DE BODEGA" dataDxfId="17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Tabla278" displayName="Tabla278" ref="A5:G34" totalsRowShown="0" dataDxfId="14" headerRowBorderDxfId="15">
  <x:autoFilter ref="A5:G34"/>
  <x:sortState ref="A6:F332">
    <x:sortCondition ref="B1:B334"/>
  </x:sortState>
  <x:tableColumns count="7">
    <x:tableColumn id="1" name="TIPO" dataDxfId="11"/>
    <x:tableColumn id="2" name="PRODUCTO" dataDxfId="10"/>
    <x:tableColumn id="3" name="CONSUMO MENSUAL" dataDxfId="9"/>
    <x:tableColumn id="4" name="STOCK ACTUAL" dataDxfId="8"/>
    <x:tableColumn id="5" name="SOLICITUD TEORICA" dataDxfId="7">
      <x:calculatedColumnFormula>-(Tabla278[[#This Row],[STOCK ACTUAL]]-Tabla278[[#This Row],[CONSUMO MENSUAL]]*1.15)</x:calculatedColumnFormula>
    </x:tableColumn>
    <x:tableColumn id="7" name="SOLICITUD REAL" dataDxfId="6"/>
    <x:tableColumn id="6" name="ENTREGA DE BODEGA" dataDxfId="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2f3b4b83994518" /><Relationship Type="http://schemas.openxmlformats.org/officeDocument/2006/relationships/table" Target="/xl/tables/table1.xml" Id="R510b8472780048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ccbe2be1fe4576" /><Relationship Type="http://schemas.openxmlformats.org/officeDocument/2006/relationships/table" Target="/xl/tables/table2.xml" Id="R19a5add6f5944c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14fe96481b140b3" /><Relationship Type="http://schemas.openxmlformats.org/officeDocument/2006/relationships/table" Target="/xl/tables/table3.xml" Id="R0558ffee20eb47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54c8e3b92db4027" /><Relationship Type="http://schemas.openxmlformats.org/officeDocument/2006/relationships/table" Target="/xl/tables/table4.xml" Id="Rffe41400dbd2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d4947c603cc44e5" /><Relationship Type="http://schemas.openxmlformats.org/officeDocument/2006/relationships/table" Target="/xl/tables/table5.xml" Id="Red434c55d17c4e7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11.42578125" defaultRowHeight="15"/>
  <x:cols>
    <x:col min="1" max="1" width="14.7109375" style="2" customWidth="1"/>
    <x:col min="2" max="2" width="54" style="10" customWidth="1"/>
    <x:col min="3" max="3" width="17.28515625" style="2" customWidth="1"/>
    <x:col min="4" max="4" width="14.7109375" style="2" customWidth="1"/>
    <x:col min="5" max="5" width="18.7109375" style="2" customWidth="1"/>
    <x:col min="6" max="6" width="17" style="2" customWidth="1"/>
    <x:col min="7" max="7" width="22.140625" style="2" customWidth="1"/>
    <x:col min="8" max="9" width="11.42578125" style="2" customWidth="0"/>
    <x:col min="10" max="10" width="11.42578125" style="2" hidden="1" customWidth="1"/>
    <x:col min="11" max="16384" width="11.42578125" style="2" customWidth="0"/>
  </x:cols>
  <x:sheetData>
    <x:row r="1" ht="15" customHeight="1">
      <x:c r="A1" s="30"/>
      <x:c r="B1" s="1"/>
      <x:c r="J1" s="2" t="s">
        <x:v>0</x:v>
      </x:c>
    </x:row>
    <x:row r="2" ht="15" customHeight="1">
      <x:c r="A2" s="30"/>
      <x:c r="B2" s="31" t="s">
        <x:v>1</x:v>
      </x:c>
      <x:c r="C2" s="31"/>
      <x:c r="D2" s="31"/>
      <x:c r="E2" s="3" t="s">
        <x:v>2</x:v>
      </x:c>
      <x:c r="F2" s="32" t="s">
        <x:v>3</x:v>
      </x:c>
      <x:c r="G2" s="32"/>
      <x:c r="J2" s="2" t="s">
        <x:v>4</x:v>
      </x:c>
    </x:row>
    <x:row r="3" ht="15" customHeight="1">
      <x:c r="A3" s="30"/>
      <x:c r="B3" s="31"/>
      <x:c r="C3" s="31"/>
      <x:c r="D3" s="31"/>
      <x:c r="E3" s="3" t="s">
        <x:v>5</x:v>
      </x:c>
      <x:c r="F3" s="33"/>
      <x:c r="G3" s="33"/>
      <x:c r="J3" s="2" t="s">
        <x:v>3</x:v>
      </x:c>
    </x:row>
    <x:row r="4" ht="15" customHeight="1">
      <x:c r="A4" s="30"/>
      <x:c r="B4" s="1"/>
      <x:c r="J4" s="2" t="s">
        <x:v>6</x:v>
      </x:c>
    </x:row>
    <x:row r="5" ht="15" customHeight="1">
      <x:c r="A5" s="4" t="s">
        <x:v>7</x:v>
      </x:c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7" t="s">
        <x:v>13</x:v>
      </x:c>
      <x:c r="J5" s="2" t="s">
        <x:v>14</x:v>
      </x:c>
    </x:row>
    <x:row r="6" ht="15" customHeight="1">
      <x:c r="A6" s="8" t="s">
        <x:v>15</x:v>
      </x:c>
      <x:c r="B6" s="8" t="s">
        <x:v>16</x:v>
      </x:c>
      <x:c r="C6" s="26"/>
      <x:c r="D6" s="26"/>
      <x:c r="E6" s="20" t="n">
        <x:f>MAX(0,C6*1.15-D6)</x:f>
        <x:v>0</x:v>
      </x:c>
      <x:c r="F6" s="27"/>
      <x:c r="G6" s="11"/>
      <x:c r="J6" s="2" t="s">
        <x:v>17</x:v>
      </x:c>
    </x:row>
    <x:row r="7" ht="15" customHeight="1">
      <x:c r="A7" s="8" t="s">
        <x:v>18</x:v>
      </x:c>
      <x:c r="B7" s="8" t="s">
        <x:v>19</x:v>
      </x:c>
      <x:c r="C7" s="26"/>
      <x:c r="D7" s="26"/>
      <x:c r="E7" s="20" t="n">
        <x:f>MAX(0,C7*1.15-D7)</x:f>
        <x:v>0</x:v>
      </x:c>
      <x:c r="F7" s="27"/>
      <x:c r="G7" s="11"/>
      <x:c r="J7" s="2" t="s">
        <x:v>20</x:v>
      </x:c>
    </x:row>
    <x:row r="8" ht="15" customHeight="1">
      <x:c r="A8" s="8" t="s">
        <x:v>15</x:v>
      </x:c>
      <x:c r="B8" s="8" t="s">
        <x:v>21</x:v>
      </x:c>
      <x:c r="C8" s="19"/>
      <x:c r="D8" s="19"/>
      <x:c r="E8" s="20" t="n">
        <x:f>MAX(0,C8*1.15-D8)</x:f>
        <x:v>0</x:v>
      </x:c>
      <x:c r="F8" s="12"/>
      <x:c r="G8" s="11"/>
      <x:c r="J8" s="2" t="s">
        <x:v>22</x:v>
      </x:c>
    </x:row>
    <x:row r="9" ht="15" customHeight="1">
      <x:c r="A9" s="8" t="s">
        <x:v>15</x:v>
      </x:c>
      <x:c r="B9" s="8" t="s">
        <x:v>23</x:v>
      </x:c>
      <x:c r="C9" s="19"/>
      <x:c r="D9" s="19"/>
      <x:c r="E9" s="20" t="n">
        <x:f>MAX(0,C9*1.15-D9)</x:f>
        <x:v>0</x:v>
      </x:c>
      <x:c r="F9" s="12"/>
      <x:c r="G9" s="11"/>
      <x:c r="J9" s="2" t="s">
        <x:v>24</x:v>
      </x:c>
    </x:row>
    <x:row r="10" ht="15" customHeight="1">
      <x:c r="A10" s="8" t="s">
        <x:v>25</x:v>
      </x:c>
      <x:c r="B10" s="8" t="s">
        <x:v>26</x:v>
      </x:c>
      <x:c r="C10" s="19"/>
      <x:c r="D10" s="19"/>
      <x:c r="E10" s="20" t="n">
        <x:f>MAX(0,C10*1.15-D10)</x:f>
        <x:v>0</x:v>
      </x:c>
      <x:c r="F10" s="12"/>
      <x:c r="G10" s="11"/>
      <x:c r="J10" s="2" t="s">
        <x:v>27</x:v>
      </x:c>
    </x:row>
    <x:row r="11" ht="15" customHeight="1">
      <x:c r="A11" s="8" t="s">
        <x:v>15</x:v>
      </x:c>
      <x:c r="B11" s="8" t="s">
        <x:v>28</x:v>
      </x:c>
      <x:c r="C11" s="19"/>
      <x:c r="D11" s="19"/>
      <x:c r="E11" s="20" t="n">
        <x:f>MAX(0,C11*1.15-D11)</x:f>
        <x:v>0</x:v>
      </x:c>
      <x:c r="F11" s="12"/>
      <x:c r="G11" s="11"/>
      <x:c r="J11" s="2" t="s">
        <x:v>29</x:v>
      </x:c>
    </x:row>
    <x:row r="12" ht="15" customHeight="1">
      <x:c r="A12" s="8" t="s">
        <x:v>15</x:v>
      </x:c>
      <x:c r="B12" s="8" t="s">
        <x:v>30</x:v>
      </x:c>
      <x:c r="C12" s="19"/>
      <x:c r="D12" s="19"/>
      <x:c r="E12" s="20" t="n">
        <x:f>MAX(0,C12*1.15-D12)</x:f>
        <x:v>0</x:v>
      </x:c>
      <x:c r="F12" s="12"/>
      <x:c r="G12" s="11"/>
    </x:row>
    <x:row r="13" ht="15" customHeight="1">
      <x:c r="A13" s="8" t="s">
        <x:v>15</x:v>
      </x:c>
      <x:c r="B13" s="8" t="s">
        <x:v>31</x:v>
      </x:c>
      <x:c r="C13" s="19"/>
      <x:c r="D13" s="19"/>
      <x:c r="E13" s="20" t="n">
        <x:f>MAX(0,C13*1.15-D13)</x:f>
        <x:v>0</x:v>
      </x:c>
      <x:c r="F13" s="12"/>
      <x:c r="G13" s="11"/>
    </x:row>
    <x:row r="14" ht="15" customHeight="1">
      <x:c r="A14" s="8" t="s">
        <x:v>32</x:v>
      </x:c>
      <x:c r="B14" s="8" t="s">
        <x:v>33</x:v>
      </x:c>
      <x:c r="C14" s="19"/>
      <x:c r="D14" s="19"/>
      <x:c r="E14" s="20" t="n">
        <x:f>MAX(0,C14*1.15-D14)</x:f>
        <x:v>0</x:v>
      </x:c>
      <x:c r="F14" s="12"/>
      <x:c r="G14" s="11"/>
    </x:row>
    <x:row r="15" ht="15" customHeight="1">
      <x:c r="A15" s="8" t="s">
        <x:v>34</x:v>
      </x:c>
      <x:c r="B15" s="8" t="s">
        <x:v>35</x:v>
      </x:c>
      <x:c r="C15" s="19"/>
      <x:c r="D15" s="19"/>
      <x:c r="E15" s="20" t="n">
        <x:f>MAX(0,C15*1.15-D15)</x:f>
        <x:v>0</x:v>
      </x:c>
      <x:c r="F15" s="12"/>
      <x:c r="G15" s="11"/>
    </x:row>
    <x:row r="16" ht="15" customHeight="1">
      <x:c r="A16" s="8" t="s">
        <x:v>36</x:v>
      </x:c>
      <x:c r="B16" s="8" t="s">
        <x:v>37</x:v>
      </x:c>
      <x:c r="C16" s="19"/>
      <x:c r="D16" s="19"/>
      <x:c r="E16" s="20" t="n">
        <x:f>MAX(0,C16*1.15-D16)</x:f>
        <x:v>0</x:v>
      </x:c>
      <x:c r="F16" s="12"/>
      <x:c r="G16" s="11"/>
    </x:row>
    <x:row r="17" ht="15" customHeight="1">
      <x:c r="A17" s="8" t="s">
        <x:v>36</x:v>
      </x:c>
      <x:c r="B17" s="8" t="s">
        <x:v>38</x:v>
      </x:c>
      <x:c r="C17" s="19"/>
      <x:c r="D17" s="19"/>
      <x:c r="E17" s="20" t="n">
        <x:f>MAX(0,C17*1.15-D17)</x:f>
        <x:v>0</x:v>
      </x:c>
      <x:c r="F17" s="12"/>
      <x:c r="G17" s="11"/>
    </x:row>
    <x:row r="18" ht="15" customHeight="1">
      <x:c r="A18" s="8" t="s">
        <x:v>36</x:v>
      </x:c>
      <x:c r="B18" s="8" t="s">
        <x:v>39</x:v>
      </x:c>
      <x:c r="C18" s="12"/>
      <x:c r="D18" s="12"/>
      <x:c r="E18" s="20" t="n">
        <x:f>MAX(0,C18*1.15-D18)</x:f>
        <x:v>0</x:v>
      </x:c>
      <x:c r="F18" s="12"/>
      <x:c r="G18" s="11"/>
    </x:row>
    <x:row r="19" ht="15" customHeight="1">
      <x:c r="A19" s="8" t="s">
        <x:v>36</x:v>
      </x:c>
      <x:c r="B19" s="8" t="s">
        <x:v>40</x:v>
      </x:c>
      <x:c r="C19" s="12"/>
      <x:c r="D19" s="12"/>
      <x:c r="E19" s="20" t="n">
        <x:f>MAX(0,C19*1.15-D19)</x:f>
        <x:v>0</x:v>
      </x:c>
      <x:c r="F19" s="12"/>
      <x:c r="G19" s="11"/>
    </x:row>
    <x:row r="20" ht="15" customHeight="1">
      <x:c r="A20" s="8" t="s">
        <x:v>41</x:v>
      </x:c>
      <x:c r="B20" s="8" t="s">
        <x:v>42</x:v>
      </x:c>
      <x:c r="C20" s="12"/>
      <x:c r="D20" s="12"/>
      <x:c r="E20" s="20" t="n">
        <x:f>MAX(0,C20*1.15-D20)</x:f>
        <x:v>0</x:v>
      </x:c>
      <x:c r="F20" s="12"/>
      <x:c r="G20" s="11"/>
    </x:row>
    <x:row r="21" ht="15" customHeight="1">
      <x:c r="A21" s="8" t="s">
        <x:v>41</x:v>
      </x:c>
      <x:c r="B21" s="8" t="s">
        <x:v>43</x:v>
      </x:c>
      <x:c r="C21" s="12"/>
      <x:c r="D21" s="12"/>
      <x:c r="E21" s="20" t="n">
        <x:f>MAX(0,C21*1.15-D21)</x:f>
        <x:v>0</x:v>
      </x:c>
      <x:c r="F21" s="12"/>
      <x:c r="G21" s="11"/>
    </x:row>
    <x:row r="22" ht="15" customHeight="1">
      <x:c r="A22" s="8" t="s">
        <x:v>32</x:v>
      </x:c>
      <x:c r="B22" s="8" t="s">
        <x:v>44</x:v>
      </x:c>
      <x:c r="C22" s="12"/>
      <x:c r="D22" s="12"/>
      <x:c r="E22" s="20" t="n">
        <x:f>MAX(0,C22*1.15-D22)</x:f>
        <x:v>0</x:v>
      </x:c>
      <x:c r="F22" s="12"/>
      <x:c r="G22" s="11"/>
    </x:row>
    <x:row r="23" ht="15" customHeight="1">
      <x:c r="A23" s="8" t="s">
        <x:v>45</x:v>
      </x:c>
      <x:c r="B23" s="8" t="s">
        <x:v>46</x:v>
      </x:c>
      <x:c r="C23" s="12"/>
      <x:c r="D23" s="12"/>
      <x:c r="E23" s="20" t="n">
        <x:f>MAX(0,C23*1.15-D23)</x:f>
        <x:v>0</x:v>
      </x:c>
      <x:c r="F23" s="12"/>
      <x:c r="G23" s="11"/>
    </x:row>
    <x:row r="24" ht="15" customHeight="1">
      <x:c r="A24" s="8" t="s">
        <x:v>15</x:v>
      </x:c>
      <x:c r="B24" s="8" t="s">
        <x:v>47</x:v>
      </x:c>
      <x:c r="C24" s="12"/>
      <x:c r="D24" s="12"/>
      <x:c r="E24" s="20" t="n">
        <x:f>MAX(0,C24*1.15-D24)</x:f>
        <x:v>0</x:v>
      </x:c>
      <x:c r="F24" s="12"/>
      <x:c r="G24" s="11"/>
    </x:row>
    <x:row r="25" ht="15" customHeight="1">
      <x:c r="A25" s="8" t="s">
        <x:v>15</x:v>
      </x:c>
      <x:c r="B25" s="8" t="s">
        <x:v>48</x:v>
      </x:c>
      <x:c r="C25" s="12"/>
      <x:c r="D25" s="12"/>
      <x:c r="E25" s="20" t="n">
        <x:f>MAX(0,C25*1.15-D25)</x:f>
        <x:v>0</x:v>
      </x:c>
      <x:c r="F25" s="12"/>
      <x:c r="G25" s="11"/>
    </x:row>
    <x:row r="26" ht="15" customHeight="1">
      <x:c r="A26" s="8" t="s">
        <x:v>15</x:v>
      </x:c>
      <x:c r="B26" s="8" t="s">
        <x:v>49</x:v>
      </x:c>
      <x:c r="C26" s="12"/>
      <x:c r="D26" s="12"/>
      <x:c r="E26" s="20" t="n">
        <x:f>MAX(0,C26*1.15-D26)</x:f>
        <x:v>0</x:v>
      </x:c>
      <x:c r="F26" s="12"/>
      <x:c r="G26" s="11"/>
    </x:row>
    <x:row r="27" ht="15" customHeight="1">
      <x:c r="A27" s="8" t="s">
        <x:v>15</x:v>
      </x:c>
      <x:c r="B27" s="8" t="s">
        <x:v>50</x:v>
      </x:c>
      <x:c r="C27" s="12"/>
      <x:c r="D27" s="12"/>
      <x:c r="E27" s="20" t="n">
        <x:f>MAX(0,C27*1.15-D27)</x:f>
        <x:v>0</x:v>
      </x:c>
      <x:c r="F27" s="12"/>
      <x:c r="G27" s="11"/>
    </x:row>
    <x:row r="28" ht="15" customHeight="1">
      <x:c r="A28" s="8" t="s">
        <x:v>15</x:v>
      </x:c>
      <x:c r="B28" s="8" t="s">
        <x:v>51</x:v>
      </x:c>
      <x:c r="C28" s="12"/>
      <x:c r="D28" s="12"/>
      <x:c r="E28" s="20" t="n">
        <x:f>MAX(0,C28*1.15-D28)</x:f>
        <x:v>0</x:v>
      </x:c>
      <x:c r="F28" s="12"/>
      <x:c r="G28" s="11"/>
    </x:row>
    <x:row r="29" ht="15" customHeight="1">
      <x:c r="A29" s="8" t="s">
        <x:v>32</x:v>
      </x:c>
      <x:c r="B29" s="8" t="s">
        <x:v>52</x:v>
      </x:c>
      <x:c r="C29" s="12"/>
      <x:c r="D29" s="12"/>
      <x:c r="E29" s="20" t="n">
        <x:f>MAX(0,C29*1.15-D29)</x:f>
        <x:v>0</x:v>
      </x:c>
      <x:c r="F29" s="12"/>
      <x:c r="G29" s="11"/>
    </x:row>
    <x:row r="30" ht="15" customHeight="1">
      <x:c r="A30" s="8" t="s">
        <x:v>15</x:v>
      </x:c>
      <x:c r="B30" s="8" t="s">
        <x:v>53</x:v>
      </x:c>
      <x:c r="C30" s="12"/>
      <x:c r="D30" s="12"/>
      <x:c r="E30" s="20" t="n">
        <x:f>MAX(0,C30*1.15-D30)</x:f>
        <x:v>0</x:v>
      </x:c>
      <x:c r="F30" s="12"/>
      <x:c r="G30" s="11"/>
    </x:row>
    <x:row r="31" ht="15" customHeight="1">
      <x:c r="A31" s="8" t="s">
        <x:v>25</x:v>
      </x:c>
      <x:c r="B31" s="8" t="s">
        <x:v>54</x:v>
      </x:c>
      <x:c r="C31" s="12"/>
      <x:c r="D31" s="12"/>
      <x:c r="E31" s="20" t="n">
        <x:f>MAX(0,C31*1.15-D31)</x:f>
        <x:v>0</x:v>
      </x:c>
      <x:c r="F31" s="12"/>
      <x:c r="G31" s="11"/>
    </x:row>
    <x:row r="32" ht="15" customHeight="1">
      <x:c r="A32" s="8" t="s">
        <x:v>25</x:v>
      </x:c>
      <x:c r="B32" s="8" t="s">
        <x:v>55</x:v>
      </x:c>
      <x:c r="C32" s="12"/>
      <x:c r="D32" s="12"/>
      <x:c r="E32" s="20" t="n">
        <x:f>MAX(0,C32*1.15-D32)</x:f>
        <x:v>0</x:v>
      </x:c>
      <x:c r="F32" s="12"/>
      <x:c r="G32" s="11"/>
    </x:row>
    <x:row r="33" ht="15" customHeight="1">
      <x:c r="A33" s="8" t="s">
        <x:v>15</x:v>
      </x:c>
      <x:c r="B33" s="8" t="s">
        <x:v>56</x:v>
      </x:c>
      <x:c r="C33" s="12"/>
      <x:c r="D33" s="12"/>
      <x:c r="E33" s="20" t="n">
        <x:f>MAX(0,C33*1.15-D33)</x:f>
        <x:v>0</x:v>
      </x:c>
      <x:c r="F33" s="12"/>
      <x:c r="G33" s="11"/>
    </x:row>
    <x:row r="34" ht="15" customHeight="1">
      <x:c r="A34" s="8" t="s">
        <x:v>15</x:v>
      </x:c>
      <x:c r="B34" s="8" t="s">
        <x:v>57</x:v>
      </x:c>
      <x:c r="C34" s="12"/>
      <x:c r="D34" s="12"/>
      <x:c r="E34" s="20" t="n">
        <x:f>MAX(0,C34*1.15-D34)</x:f>
        <x:v>0</x:v>
      </x:c>
      <x:c r="F34" s="12"/>
      <x:c r="G34" s="11"/>
    </x:row>
    <x:row r="35" ht="15" customHeight="1">
      <x:c r="A35" s="8" t="s">
        <x:v>15</x:v>
      </x:c>
      <x:c r="B35" s="8" t="s">
        <x:v>58</x:v>
      </x:c>
      <x:c r="C35" s="12"/>
      <x:c r="D35" s="12"/>
      <x:c r="E35" s="20" t="n">
        <x:f>MAX(0,C35*1.15-D35)</x:f>
        <x:v>0</x:v>
      </x:c>
      <x:c r="F35" s="12"/>
      <x:c r="G35" s="11"/>
    </x:row>
    <x:row r="36" ht="15" customHeight="1">
      <x:c r="A36" s="8" t="s">
        <x:v>15</x:v>
      </x:c>
      <x:c r="B36" s="8" t="s">
        <x:v>59</x:v>
      </x:c>
      <x:c r="C36" s="12"/>
      <x:c r="D36" s="12"/>
      <x:c r="E36" s="20" t="n">
        <x:f>MAX(0,C36*1.15-D36)</x:f>
        <x:v>0</x:v>
      </x:c>
      <x:c r="F36" s="12"/>
      <x:c r="G36" s="11"/>
    </x:row>
    <x:row r="37" ht="15" customHeight="1">
      <x:c r="A37" s="8" t="s">
        <x:v>34</x:v>
      </x:c>
      <x:c r="B37" s="8" t="s">
        <x:v>60</x:v>
      </x:c>
      <x:c r="C37" s="12"/>
      <x:c r="D37" s="12"/>
      <x:c r="E37" s="20" t="n">
        <x:f>MAX(0,C37*1.15-D37)</x:f>
        <x:v>0</x:v>
      </x:c>
      <x:c r="F37" s="12"/>
      <x:c r="G37" s="11"/>
    </x:row>
    <x:row r="38" ht="15" customHeight="1">
      <x:c r="A38" s="8" t="s">
        <x:v>15</x:v>
      </x:c>
      <x:c r="B38" s="8" t="s">
        <x:v>61</x:v>
      </x:c>
      <x:c r="C38" s="12"/>
      <x:c r="D38" s="12"/>
      <x:c r="E38" s="20" t="n">
        <x:f>MAX(0,C38*1.15-D38)</x:f>
        <x:v>0</x:v>
      </x:c>
      <x:c r="F38" s="12"/>
      <x:c r="G38" s="11"/>
    </x:row>
    <x:row r="39" ht="15" customHeight="1">
      <x:c r="A39" s="8" t="s">
        <x:v>34</x:v>
      </x:c>
      <x:c r="B39" s="8" t="s">
        <x:v>62</x:v>
      </x:c>
      <x:c r="C39" s="12"/>
      <x:c r="D39" s="12"/>
      <x:c r="E39" s="20" t="n">
        <x:f>MAX(0,C39*1.15-D39)</x:f>
        <x:v>0</x:v>
      </x:c>
      <x:c r="F39" s="12"/>
      <x:c r="G39" s="11"/>
    </x:row>
    <x:row r="40" ht="15" customHeight="1">
      <x:c r="A40" s="8" t="s">
        <x:v>25</x:v>
      </x:c>
      <x:c r="B40" s="8" t="s">
        <x:v>63</x:v>
      </x:c>
      <x:c r="C40" s="12"/>
      <x:c r="D40" s="12"/>
      <x:c r="E40" s="20" t="n">
        <x:f>MAX(0,C40*1.15-D40)</x:f>
        <x:v>0</x:v>
      </x:c>
      <x:c r="F40" s="12"/>
      <x:c r="G40" s="11"/>
    </x:row>
    <x:row r="41" ht="15" customHeight="1">
      <x:c r="A41" s="8" t="s">
        <x:v>25</x:v>
      </x:c>
      <x:c r="B41" s="8" t="s">
        <x:v>64</x:v>
      </x:c>
      <x:c r="C41" s="12"/>
      <x:c r="D41" s="12"/>
      <x:c r="E41" s="20" t="n">
        <x:f>MAX(0,C41*1.15-D41)</x:f>
        <x:v>0</x:v>
      </x:c>
      <x:c r="F41" s="12"/>
      <x:c r="G41" s="11"/>
    </x:row>
    <x:row r="42" ht="15" customHeight="1">
      <x:c r="A42" s="8" t="s">
        <x:v>25</x:v>
      </x:c>
      <x:c r="B42" s="8" t="s">
        <x:v>65</x:v>
      </x:c>
      <x:c r="C42" s="12"/>
      <x:c r="D42" s="12"/>
      <x:c r="E42" s="20" t="n">
        <x:f>MAX(0,C42*1.15-D42)</x:f>
        <x:v>0</x:v>
      </x:c>
      <x:c r="F42" s="12"/>
      <x:c r="G42" s="11"/>
    </x:row>
    <x:row r="43" ht="15" customHeight="1">
      <x:c r="A43" s="8" t="s">
        <x:v>32</x:v>
      </x:c>
      <x:c r="B43" s="8" t="s">
        <x:v>66</x:v>
      </x:c>
      <x:c r="C43" s="12"/>
      <x:c r="D43" s="12"/>
      <x:c r="E43" s="20" t="n">
        <x:f>MAX(0,C43*1.15-D43)</x:f>
        <x:v>0</x:v>
      </x:c>
      <x:c r="F43" s="12"/>
      <x:c r="G43" s="11"/>
    </x:row>
    <x:row r="44" ht="15" customHeight="1">
      <x:c r="A44" s="8" t="s">
        <x:v>36</x:v>
      </x:c>
      <x:c r="B44" s="8" t="s">
        <x:v>67</x:v>
      </x:c>
      <x:c r="C44" s="12"/>
      <x:c r="D44" s="12"/>
      <x:c r="E44" s="20" t="n">
        <x:f>MAX(0,C44*1.15-D44)</x:f>
        <x:v>0</x:v>
      </x:c>
      <x:c r="F44" s="12"/>
      <x:c r="G44" s="11"/>
    </x:row>
    <x:row r="45" ht="15" customHeight="1">
      <x:c r="A45" s="8" t="s">
        <x:v>15</x:v>
      </x:c>
      <x:c r="B45" s="8" t="s">
        <x:v>68</x:v>
      </x:c>
      <x:c r="C45" s="12"/>
      <x:c r="D45" s="12"/>
      <x:c r="E45" s="20" t="n">
        <x:f>MAX(0,C45*1.15-D45)</x:f>
        <x:v>0</x:v>
      </x:c>
      <x:c r="F45" s="12"/>
      <x:c r="G45" s="11"/>
    </x:row>
    <x:row r="46" ht="15" customHeight="1">
      <x:c r="A46" s="8" t="s">
        <x:v>18</x:v>
      </x:c>
      <x:c r="B46" s="8" t="s">
        <x:v>69</x:v>
      </x:c>
      <x:c r="C46" s="12"/>
      <x:c r="D46" s="12"/>
      <x:c r="E46" s="20" t="n">
        <x:f>MAX(0,C46*1.15-D46)</x:f>
        <x:v>0</x:v>
      </x:c>
      <x:c r="F46" s="12"/>
      <x:c r="G46" s="11"/>
    </x:row>
    <x:row r="47" ht="15" customHeight="1">
      <x:c r="A47" s="8" t="s">
        <x:v>15</x:v>
      </x:c>
      <x:c r="B47" s="8" t="s">
        <x:v>70</x:v>
      </x:c>
      <x:c r="C47" s="12"/>
      <x:c r="D47" s="12"/>
      <x:c r="E47" s="20" t="n">
        <x:f>MAX(0,C47*1.15-D47)</x:f>
        <x:v>0</x:v>
      </x:c>
      <x:c r="F47" s="12"/>
      <x:c r="G47" s="11"/>
    </x:row>
    <x:row r="48" ht="15" customHeight="1">
      <x:c r="A48" s="8" t="s">
        <x:v>32</x:v>
      </x:c>
      <x:c r="B48" s="8" t="s">
        <x:v>71</x:v>
      </x:c>
      <x:c r="C48" s="12"/>
      <x:c r="D48" s="12"/>
      <x:c r="E48" s="20" t="n">
        <x:f>MAX(0,C48*1.15-D48)</x:f>
        <x:v>0</x:v>
      </x:c>
      <x:c r="F48" s="12"/>
      <x:c r="G48" s="11"/>
    </x:row>
    <x:row r="49" ht="15" customHeight="1">
      <x:c r="A49" s="8" t="s">
        <x:v>15</x:v>
      </x:c>
      <x:c r="B49" s="8" t="s">
        <x:v>72</x:v>
      </x:c>
      <x:c r="C49" s="12"/>
      <x:c r="D49" s="12"/>
      <x:c r="E49" s="20" t="n">
        <x:f>MAX(0,C49*1.15-D49)</x:f>
        <x:v>0</x:v>
      </x:c>
      <x:c r="F49" s="12"/>
      <x:c r="G49" s="11"/>
    </x:row>
    <x:row r="50" ht="15" customHeight="1">
      <x:c r="A50" s="8" t="s">
        <x:v>15</x:v>
      </x:c>
      <x:c r="B50" s="8" t="s">
        <x:v>73</x:v>
      </x:c>
      <x:c r="C50" s="12"/>
      <x:c r="D50" s="12"/>
      <x:c r="E50" s="20" t="n">
        <x:f>MAX(0,C50*1.15-D50)</x:f>
        <x:v>0</x:v>
      </x:c>
      <x:c r="F50" s="12"/>
      <x:c r="G50" s="11"/>
    </x:row>
    <x:row r="51" ht="15" customHeight="1">
      <x:c r="A51" s="8" t="s">
        <x:v>18</x:v>
      </x:c>
      <x:c r="B51" s="8" t="s">
        <x:v>74</x:v>
      </x:c>
      <x:c r="C51" s="12"/>
      <x:c r="D51" s="12"/>
      <x:c r="E51" s="20" t="n">
        <x:f>MAX(0,C51*1.15-D51)</x:f>
        <x:v>0</x:v>
      </x:c>
      <x:c r="F51" s="12"/>
      <x:c r="G51" s="11"/>
    </x:row>
    <x:row r="52" ht="15" customHeight="1">
      <x:c r="A52" s="8" t="s">
        <x:v>18</x:v>
      </x:c>
      <x:c r="B52" s="8" t="s">
        <x:v>75</x:v>
      </x:c>
      <x:c r="C52" s="12"/>
      <x:c r="D52" s="12"/>
      <x:c r="E52" s="20" t="n">
        <x:f>MAX(0,C52*1.15-D52)</x:f>
        <x:v>0</x:v>
      </x:c>
      <x:c r="F52" s="12"/>
      <x:c r="G52" s="11"/>
    </x:row>
    <x:row r="53" ht="15" customHeight="1">
      <x:c r="A53" s="8" t="s">
        <x:v>18</x:v>
      </x:c>
      <x:c r="B53" s="8" t="s">
        <x:v>76</x:v>
      </x:c>
      <x:c r="C53" s="12"/>
      <x:c r="D53" s="12"/>
      <x:c r="E53" s="20" t="n">
        <x:f>MAX(0,C53*1.15-D53)</x:f>
        <x:v>0</x:v>
      </x:c>
      <x:c r="F53" s="12"/>
      <x:c r="G53" s="11"/>
    </x:row>
    <x:row r="54" ht="15" customHeight="1">
      <x:c r="A54" s="8" t="s">
        <x:v>15</x:v>
      </x:c>
      <x:c r="B54" s="8" t="s">
        <x:v>77</x:v>
      </x:c>
      <x:c r="C54" s="12"/>
      <x:c r="D54" s="12"/>
      <x:c r="E54" s="20" t="n">
        <x:f>MAX(0,C54*1.15-D54)</x:f>
        <x:v>0</x:v>
      </x:c>
      <x:c r="F54" s="12"/>
      <x:c r="G54" s="11"/>
    </x:row>
    <x:row r="55" ht="15" customHeight="1">
      <x:c r="A55" s="8" t="s">
        <x:v>36</x:v>
      </x:c>
      <x:c r="B55" s="8" t="s">
        <x:v>78</x:v>
      </x:c>
      <x:c r="C55" s="12"/>
      <x:c r="D55" s="12"/>
      <x:c r="E55" s="20" t="n">
        <x:f>MAX(0,C55*1.15-D55)</x:f>
        <x:v>0</x:v>
      </x:c>
      <x:c r="F55" s="12"/>
      <x:c r="G55" s="11"/>
    </x:row>
    <x:row r="56" ht="15" customHeight="1">
      <x:c r="A56" s="8" t="s">
        <x:v>36</x:v>
      </x:c>
      <x:c r="B56" s="8" t="s">
        <x:v>79</x:v>
      </x:c>
      <x:c r="C56" s="12"/>
      <x:c r="D56" s="12"/>
      <x:c r="E56" s="20" t="n">
        <x:f>MAX(0,C56*1.15-D56)</x:f>
        <x:v>0</x:v>
      </x:c>
      <x:c r="F56" s="12"/>
      <x:c r="G56" s="11"/>
    </x:row>
    <x:row r="57" ht="15" customHeight="1">
      <x:c r="A57" s="8" t="s">
        <x:v>15</x:v>
      </x:c>
      <x:c r="B57" s="8" t="s">
        <x:v>80</x:v>
      </x:c>
      <x:c r="C57" s="12"/>
      <x:c r="D57" s="12"/>
      <x:c r="E57" s="20" t="n">
        <x:f>MAX(0,C57*1.15-D57)</x:f>
        <x:v>0</x:v>
      </x:c>
      <x:c r="F57" s="12"/>
      <x:c r="G57" s="11"/>
    </x:row>
    <x:row r="58" ht="15" customHeight="1">
      <x:c r="A58" s="8" t="s">
        <x:v>36</x:v>
      </x:c>
      <x:c r="B58" s="8" t="s">
        <x:v>81</x:v>
      </x:c>
      <x:c r="C58" s="12"/>
      <x:c r="D58" s="12"/>
      <x:c r="E58" s="20" t="n">
        <x:f>MAX(0,C58*1.15-D58)</x:f>
        <x:v>0</x:v>
      </x:c>
      <x:c r="F58" s="12"/>
      <x:c r="G58" s="11"/>
    </x:row>
    <x:row r="59" ht="15" customHeight="1">
      <x:c r="A59" s="8" t="s">
        <x:v>36</x:v>
      </x:c>
      <x:c r="B59" s="8" t="s">
        <x:v>82</x:v>
      </x:c>
      <x:c r="C59" s="12"/>
      <x:c r="D59" s="12"/>
      <x:c r="E59" s="20" t="n">
        <x:f>MAX(0,C59*1.15-D59)</x:f>
        <x:v>0</x:v>
      </x:c>
      <x:c r="F59" s="12"/>
      <x:c r="G59" s="11"/>
    </x:row>
    <x:row r="60" ht="15" customHeight="1">
      <x:c r="A60" s="8" t="s">
        <x:v>18</x:v>
      </x:c>
      <x:c r="B60" s="8" t="s">
        <x:v>83</x:v>
      </x:c>
      <x:c r="C60" s="12"/>
      <x:c r="D60" s="12"/>
      <x:c r="E60" s="20" t="n">
        <x:f>MAX(0,C60*1.15-D60)</x:f>
        <x:v>0</x:v>
      </x:c>
      <x:c r="F60" s="12"/>
      <x:c r="G60" s="11"/>
    </x:row>
    <x:row r="61" ht="15" customHeight="1">
      <x:c r="A61" s="8" t="s">
        <x:v>34</x:v>
      </x:c>
      <x:c r="B61" s="8" t="s">
        <x:v>84</x:v>
      </x:c>
      <x:c r="C61" s="12"/>
      <x:c r="D61" s="12"/>
      <x:c r="E61" s="20" t="n">
        <x:f>MAX(0,C61*1.15-D61)</x:f>
        <x:v>0</x:v>
      </x:c>
      <x:c r="F61" s="12"/>
      <x:c r="G61" s="11"/>
    </x:row>
    <x:row r="62" ht="15" customHeight="1">
      <x:c r="A62" s="8" t="s">
        <x:v>25</x:v>
      </x:c>
      <x:c r="B62" s="8" t="s">
        <x:v>85</x:v>
      </x:c>
      <x:c r="C62" s="12"/>
      <x:c r="D62" s="12"/>
      <x:c r="E62" s="20" t="n">
        <x:f>MAX(0,C62*1.15-D62)</x:f>
        <x:v>0</x:v>
      </x:c>
      <x:c r="F62" s="12"/>
      <x:c r="G62" s="11"/>
    </x:row>
    <x:row r="63" ht="15" customHeight="1">
      <x:c r="A63" s="8" t="s">
        <x:v>25</x:v>
      </x:c>
      <x:c r="B63" s="8" t="s">
        <x:v>86</x:v>
      </x:c>
      <x:c r="C63" s="12"/>
      <x:c r="D63" s="12"/>
      <x:c r="E63" s="20" t="n">
        <x:f>MAX(0,C63*1.15-D63)</x:f>
        <x:v>0</x:v>
      </x:c>
      <x:c r="F63" s="12"/>
      <x:c r="G63" s="11"/>
    </x:row>
    <x:row r="64" ht="15" customHeight="1">
      <x:c r="A64" s="8" t="s">
        <x:v>25</x:v>
      </x:c>
      <x:c r="B64" s="8" t="s">
        <x:v>87</x:v>
      </x:c>
      <x:c r="C64" s="12"/>
      <x:c r="D64" s="12"/>
      <x:c r="E64" s="20" t="n">
        <x:f>MAX(0,C64*1.15-D64)</x:f>
        <x:v>0</x:v>
      </x:c>
      <x:c r="F64" s="12"/>
      <x:c r="G64" s="11"/>
    </x:row>
    <x:row r="65" ht="15" customHeight="1">
      <x:c r="A65" s="8" t="s">
        <x:v>15</x:v>
      </x:c>
      <x:c r="B65" s="8" t="s">
        <x:v>88</x:v>
      </x:c>
      <x:c r="C65" s="12"/>
      <x:c r="D65" s="12"/>
      <x:c r="E65" s="20" t="n">
        <x:f>MAX(0,C65*1.15-D65)</x:f>
        <x:v>0</x:v>
      </x:c>
      <x:c r="F65" s="12"/>
      <x:c r="G65" s="11"/>
    </x:row>
    <x:row r="66" ht="15" customHeight="1">
      <x:c r="A66" s="8" t="s">
        <x:v>15</x:v>
      </x:c>
      <x:c r="B66" s="8" t="s">
        <x:v>89</x:v>
      </x:c>
      <x:c r="C66" s="12"/>
      <x:c r="D66" s="12"/>
      <x:c r="E66" s="20" t="n">
        <x:f>MAX(0,C66*1.15-D66)</x:f>
        <x:v>0</x:v>
      </x:c>
      <x:c r="F66" s="12"/>
      <x:c r="G66" s="11"/>
    </x:row>
    <x:row r="67" ht="15" customHeight="1">
      <x:c r="A67" s="8" t="s">
        <x:v>32</x:v>
      </x:c>
      <x:c r="B67" s="8" t="s">
        <x:v>90</x:v>
      </x:c>
      <x:c r="C67" s="12"/>
      <x:c r="D67" s="12"/>
      <x:c r="E67" s="20" t="n">
        <x:f>MAX(0,C67*1.15-D67)</x:f>
        <x:v>0</x:v>
      </x:c>
      <x:c r="F67" s="12"/>
      <x:c r="G67" s="11"/>
    </x:row>
    <x:row r="68" ht="15" customHeight="1">
      <x:c r="A68" s="8" t="s">
        <x:v>36</x:v>
      </x:c>
      <x:c r="B68" s="8" t="s">
        <x:v>91</x:v>
      </x:c>
      <x:c r="C68" s="12"/>
      <x:c r="D68" s="12"/>
      <x:c r="E68" s="20" t="n">
        <x:f>MAX(0,C68*1.15-D68)</x:f>
        <x:v>0</x:v>
      </x:c>
      <x:c r="F68" s="12"/>
      <x:c r="G68" s="11"/>
    </x:row>
    <x:row r="69" ht="15" customHeight="1">
      <x:c r="A69" s="8" t="s">
        <x:v>15</x:v>
      </x:c>
      <x:c r="B69" s="8" t="s">
        <x:v>92</x:v>
      </x:c>
      <x:c r="C69" s="12"/>
      <x:c r="D69" s="12"/>
      <x:c r="E69" s="20" t="n">
        <x:f>MAX(0,C69*1.15-D69)</x:f>
        <x:v>0</x:v>
      </x:c>
      <x:c r="F69" s="12"/>
      <x:c r="G69" s="11"/>
    </x:row>
    <x:row r="70" ht="15" customHeight="1">
      <x:c r="A70" s="8" t="s">
        <x:v>32</x:v>
      </x:c>
      <x:c r="B70" s="8" t="s">
        <x:v>93</x:v>
      </x:c>
      <x:c r="C70" s="12"/>
      <x:c r="D70" s="12"/>
      <x:c r="E70" s="20" t="n">
        <x:f>MAX(0,C70*1.15-D70)</x:f>
        <x:v>0</x:v>
      </x:c>
      <x:c r="F70" s="12"/>
      <x:c r="G70" s="11"/>
    </x:row>
    <x:row r="71" ht="15" customHeight="1">
      <x:c r="A71" s="8" t="s">
        <x:v>34</x:v>
      </x:c>
      <x:c r="B71" s="8" t="s">
        <x:v>94</x:v>
      </x:c>
      <x:c r="C71" s="12"/>
      <x:c r="D71" s="12"/>
      <x:c r="E71" s="20" t="n">
        <x:f>MAX(0,C71*1.15-D71)</x:f>
        <x:v>0</x:v>
      </x:c>
      <x:c r="F71" s="12"/>
      <x:c r="G71" s="11"/>
    </x:row>
    <x:row r="72" ht="15" customHeight="1">
      <x:c r="A72" s="8" t="s">
        <x:v>18</x:v>
      </x:c>
      <x:c r="B72" s="8" t="s">
        <x:v>95</x:v>
      </x:c>
      <x:c r="C72" s="12"/>
      <x:c r="D72" s="12"/>
      <x:c r="E72" s="20" t="n">
        <x:f>MAX(0,C72*1.15-D72)</x:f>
        <x:v>0</x:v>
      </x:c>
      <x:c r="F72" s="12"/>
      <x:c r="G72" s="11"/>
    </x:row>
    <x:row r="73" ht="15" customHeight="1">
      <x:c r="A73" s="8" t="s">
        <x:v>41</x:v>
      </x:c>
      <x:c r="B73" s="8" t="s">
        <x:v>96</x:v>
      </x:c>
      <x:c r="C73" s="12"/>
      <x:c r="D73" s="12"/>
      <x:c r="E73" s="20" t="n">
        <x:f>MAX(0,C73*1.15-D73)</x:f>
        <x:v>0</x:v>
      </x:c>
      <x:c r="F73" s="12"/>
      <x:c r="G73" s="11"/>
    </x:row>
    <x:row r="74" ht="15" customHeight="1">
      <x:c r="A74" s="8" t="s">
        <x:v>15</x:v>
      </x:c>
      <x:c r="B74" s="8" t="s">
        <x:v>97</x:v>
      </x:c>
      <x:c r="C74" s="12"/>
      <x:c r="D74" s="12"/>
      <x:c r="E74" s="20" t="n">
        <x:f>MAX(0,C74*1.15-D74)</x:f>
        <x:v>0</x:v>
      </x:c>
      <x:c r="F74" s="12"/>
      <x:c r="G74" s="11"/>
    </x:row>
    <x:row r="75" ht="15" customHeight="1">
      <x:c r="A75" s="8" t="s">
        <x:v>15</x:v>
      </x:c>
      <x:c r="B75" s="8" t="s">
        <x:v>98</x:v>
      </x:c>
      <x:c r="C75" s="12"/>
      <x:c r="D75" s="12"/>
      <x:c r="E75" s="20" t="n">
        <x:f>MAX(0,C75*1.15-D75)</x:f>
        <x:v>0</x:v>
      </x:c>
      <x:c r="F75" s="12"/>
      <x:c r="G75" s="11"/>
    </x:row>
    <x:row r="76" ht="15" customHeight="1">
      <x:c r="A76" s="8" t="s">
        <x:v>15</x:v>
      </x:c>
      <x:c r="B76" s="8" t="s">
        <x:v>99</x:v>
      </x:c>
      <x:c r="C76" s="12"/>
      <x:c r="D76" s="12"/>
      <x:c r="E76" s="20" t="n">
        <x:f>MAX(0,C76*1.15-D76)</x:f>
        <x:v>0</x:v>
      </x:c>
      <x:c r="F76" s="12"/>
      <x:c r="G76" s="11"/>
    </x:row>
    <x:row r="77" ht="15" customHeight="1">
      <x:c r="A77" s="8" t="s">
        <x:v>15</x:v>
      </x:c>
      <x:c r="B77" s="8" t="s">
        <x:v>100</x:v>
      </x:c>
      <x:c r="C77" s="12"/>
      <x:c r="D77" s="12"/>
      <x:c r="E77" s="20" t="n">
        <x:f>MAX(0,C77*1.15-D77)</x:f>
        <x:v>0</x:v>
      </x:c>
      <x:c r="F77" s="12"/>
      <x:c r="G77" s="11"/>
    </x:row>
    <x:row r="78" ht="15" customHeight="1">
      <x:c r="A78" s="8" t="s">
        <x:v>15</x:v>
      </x:c>
      <x:c r="B78" s="8" t="s">
        <x:v>101</x:v>
      </x:c>
      <x:c r="C78" s="12"/>
      <x:c r="D78" s="12"/>
      <x:c r="E78" s="20" t="n">
        <x:f>MAX(0,C78*1.15-D78)</x:f>
        <x:v>0</x:v>
      </x:c>
      <x:c r="F78" s="12"/>
      <x:c r="G78" s="11"/>
    </x:row>
    <x:row r="79" ht="15" customHeight="1">
      <x:c r="A79" s="8" t="s">
        <x:v>41</x:v>
      </x:c>
      <x:c r="B79" s="8" t="s">
        <x:v>102</x:v>
      </x:c>
      <x:c r="C79" s="12"/>
      <x:c r="D79" s="12"/>
      <x:c r="E79" s="20" t="n">
        <x:f>MAX(0,C79*1.15-D79)</x:f>
        <x:v>0</x:v>
      </x:c>
      <x:c r="F79" s="12"/>
      <x:c r="G79" s="11"/>
    </x:row>
    <x:row r="80" ht="15" customHeight="1">
      <x:c r="A80" s="8" t="s">
        <x:v>36</x:v>
      </x:c>
      <x:c r="B80" s="8" t="s">
        <x:v>103</x:v>
      </x:c>
      <x:c r="C80" s="12"/>
      <x:c r="D80" s="12"/>
      <x:c r="E80" s="20" t="n">
        <x:f>MAX(0,C80*1.15-D80)</x:f>
        <x:v>0</x:v>
      </x:c>
      <x:c r="F80" s="12"/>
      <x:c r="G80" s="11"/>
    </x:row>
    <x:row r="81" ht="15" customHeight="1">
      <x:c r="A81" s="8" t="s">
        <x:v>34</x:v>
      </x:c>
      <x:c r="B81" s="8" t="s">
        <x:v>104</x:v>
      </x:c>
      <x:c r="C81" s="12"/>
      <x:c r="D81" s="12"/>
      <x:c r="E81" s="20" t="n">
        <x:f>MAX(0,C81*1.15-D81)</x:f>
        <x:v>0</x:v>
      </x:c>
      <x:c r="F81" s="12"/>
      <x:c r="G81" s="11"/>
    </x:row>
    <x:row r="82" ht="15" customHeight="1">
      <x:c r="A82" s="8" t="s">
        <x:v>15</x:v>
      </x:c>
      <x:c r="B82" s="8" t="s">
        <x:v>105</x:v>
      </x:c>
      <x:c r="C82" s="12"/>
      <x:c r="D82" s="12"/>
      <x:c r="E82" s="20" t="n">
        <x:f>MAX(0,C82*1.15-D82)</x:f>
        <x:v>0</x:v>
      </x:c>
      <x:c r="F82" s="12"/>
      <x:c r="G82" s="11"/>
    </x:row>
    <x:row r="83" ht="15" customHeight="1">
      <x:c r="A83" s="8" t="s">
        <x:v>15</x:v>
      </x:c>
      <x:c r="B83" s="8" t="s">
        <x:v>106</x:v>
      </x:c>
      <x:c r="C83" s="12"/>
      <x:c r="D83" s="12"/>
      <x:c r="E83" s="20" t="n">
        <x:f>MAX(0,C83*1.15-D83)</x:f>
        <x:v>0</x:v>
      </x:c>
      <x:c r="F83" s="12"/>
      <x:c r="G83" s="11"/>
    </x:row>
    <x:row r="84" ht="15" customHeight="1">
      <x:c r="A84" s="8" t="s">
        <x:v>15</x:v>
      </x:c>
      <x:c r="B84" s="8" t="s">
        <x:v>107</x:v>
      </x:c>
      <x:c r="C84" s="12"/>
      <x:c r="D84" s="12"/>
      <x:c r="E84" s="20" t="n">
        <x:f>MAX(0,C84*1.15-D84)</x:f>
        <x:v>0</x:v>
      </x:c>
      <x:c r="F84" s="12"/>
      <x:c r="G84" s="11"/>
    </x:row>
    <x:row r="85" ht="15" customHeight="1">
      <x:c r="A85" s="8" t="s">
        <x:v>15</x:v>
      </x:c>
      <x:c r="B85" s="8" t="s">
        <x:v>108</x:v>
      </x:c>
      <x:c r="C85" s="12"/>
      <x:c r="D85" s="12"/>
      <x:c r="E85" s="20" t="n">
        <x:f>MAX(0,C85*1.15-D85)</x:f>
        <x:v>0</x:v>
      </x:c>
      <x:c r="F85" s="12"/>
      <x:c r="G85" s="11"/>
    </x:row>
    <x:row r="86" ht="15" customHeight="1">
      <x:c r="A86" s="8" t="s">
        <x:v>32</x:v>
      </x:c>
      <x:c r="B86" s="8" t="s">
        <x:v>109</x:v>
      </x:c>
      <x:c r="C86" s="12"/>
      <x:c r="D86" s="12"/>
      <x:c r="E86" s="20" t="n">
        <x:f>MAX(0,C86*1.15-D86)</x:f>
        <x:v>0</x:v>
      </x:c>
      <x:c r="F86" s="12"/>
      <x:c r="G86" s="11"/>
    </x:row>
    <x:row r="87" ht="15" customHeight="1">
      <x:c r="A87" s="8" t="s">
        <x:v>15</x:v>
      </x:c>
      <x:c r="B87" s="8" t="s">
        <x:v>110</x:v>
      </x:c>
      <x:c r="C87" s="12"/>
      <x:c r="D87" s="12"/>
      <x:c r="E87" s="20" t="n">
        <x:f>MAX(0,C87*1.15-D87)</x:f>
        <x:v>0</x:v>
      </x:c>
      <x:c r="F87" s="12"/>
      <x:c r="G87" s="11"/>
    </x:row>
    <x:row r="88" ht="15" customHeight="1">
      <x:c r="A88" s="8" t="s">
        <x:v>32</x:v>
      </x:c>
      <x:c r="B88" s="8" t="s">
        <x:v>111</x:v>
      </x:c>
      <x:c r="C88" s="12"/>
      <x:c r="D88" s="12"/>
      <x:c r="E88" s="20" t="n">
        <x:f>MAX(0,C88*1.15-D88)</x:f>
        <x:v>0</x:v>
      </x:c>
      <x:c r="F88" s="12"/>
      <x:c r="G88" s="11"/>
    </x:row>
    <x:row r="89" ht="15" customHeight="1">
      <x:c r="A89" s="8" t="s">
        <x:v>15</x:v>
      </x:c>
      <x:c r="B89" s="8" t="s">
        <x:v>112</x:v>
      </x:c>
      <x:c r="C89" s="12"/>
      <x:c r="D89" s="12"/>
      <x:c r="E89" s="20" t="n">
        <x:f>MAX(0,C89*1.15-D89)</x:f>
        <x:v>0</x:v>
      </x:c>
      <x:c r="F89" s="12"/>
      <x:c r="G89" s="11"/>
    </x:row>
    <x:row r="90" ht="15" customHeight="1">
      <x:c r="A90" s="8" t="s">
        <x:v>15</x:v>
      </x:c>
      <x:c r="B90" s="8" t="s">
        <x:v>113</x:v>
      </x:c>
      <x:c r="C90" s="12"/>
      <x:c r="D90" s="12"/>
      <x:c r="E90" s="20" t="n">
        <x:f>MAX(0,C90*1.15-D90)</x:f>
        <x:v>0</x:v>
      </x:c>
      <x:c r="F90" s="12"/>
      <x:c r="G90" s="11"/>
    </x:row>
    <x:row r="91" ht="15" customHeight="1">
      <x:c r="A91" s="8" t="s">
        <x:v>15</x:v>
      </x:c>
      <x:c r="B91" s="8" t="s">
        <x:v>114</x:v>
      </x:c>
      <x:c r="C91" s="12"/>
      <x:c r="D91" s="12"/>
      <x:c r="E91" s="20" t="n">
        <x:f>MAX(0,C91*1.15-D91)</x:f>
        <x:v>0</x:v>
      </x:c>
      <x:c r="F91" s="12"/>
      <x:c r="G91" s="11"/>
    </x:row>
    <x:row r="92" ht="15" customHeight="1">
      <x:c r="A92" s="8" t="s">
        <x:v>34</x:v>
      </x:c>
      <x:c r="B92" s="8" t="s">
        <x:v>115</x:v>
      </x:c>
      <x:c r="C92" s="12"/>
      <x:c r="D92" s="12"/>
      <x:c r="E92" s="20" t="n">
        <x:f>MAX(0,C92*1.15-D92)</x:f>
        <x:v>0</x:v>
      </x:c>
      <x:c r="F92" s="12"/>
      <x:c r="G92" s="11"/>
    </x:row>
    <x:row r="93" ht="15" customHeight="1">
      <x:c r="A93" s="8" t="s">
        <x:v>15</x:v>
      </x:c>
      <x:c r="B93" s="8" t="s">
        <x:v>116</x:v>
      </x:c>
      <x:c r="C93" s="12"/>
      <x:c r="D93" s="12"/>
      <x:c r="E93" s="20" t="n">
        <x:f>MAX(0,C93*1.15-D93)</x:f>
        <x:v>0</x:v>
      </x:c>
      <x:c r="F93" s="12"/>
      <x:c r="G93" s="11"/>
    </x:row>
    <x:row r="94" ht="15" customHeight="1">
      <x:c r="A94" s="8" t="s">
        <x:v>15</x:v>
      </x:c>
      <x:c r="B94" s="8" t="s">
        <x:v>117</x:v>
      </x:c>
      <x:c r="C94" s="12"/>
      <x:c r="D94" s="12"/>
      <x:c r="E94" s="20" t="n">
        <x:f>MAX(0,C94*1.15-D94)</x:f>
        <x:v>0</x:v>
      </x:c>
      <x:c r="F94" s="12"/>
      <x:c r="G94" s="11"/>
    </x:row>
    <x:row r="95" ht="15" customHeight="1">
      <x:c r="A95" s="8" t="s">
        <x:v>41</x:v>
      </x:c>
      <x:c r="B95" s="8" t="s">
        <x:v>118</x:v>
      </x:c>
      <x:c r="C95" s="12"/>
      <x:c r="D95" s="12"/>
      <x:c r="E95" s="20" t="n">
        <x:f>MAX(0,C95*1.15-D95)</x:f>
        <x:v>0</x:v>
      </x:c>
      <x:c r="F95" s="12"/>
      <x:c r="G95" s="11"/>
    </x:row>
    <x:row r="96" ht="15" customHeight="1">
      <x:c r="A96" s="8" t="s">
        <x:v>36</x:v>
      </x:c>
      <x:c r="B96" s="8" t="s">
        <x:v>119</x:v>
      </x:c>
      <x:c r="C96" s="12"/>
      <x:c r="D96" s="12"/>
      <x:c r="E96" s="20" t="n">
        <x:f>MAX(0,C96*1.15-D96)</x:f>
        <x:v>0</x:v>
      </x:c>
      <x:c r="F96" s="12"/>
      <x:c r="G96" s="11"/>
    </x:row>
    <x:row r="97" ht="15" customHeight="1">
      <x:c r="A97" s="8" t="s">
        <x:v>36</x:v>
      </x:c>
      <x:c r="B97" s="8" t="s">
        <x:v>120</x:v>
      </x:c>
      <x:c r="C97" s="12"/>
      <x:c r="D97" s="12"/>
      <x:c r="E97" s="20" t="n">
        <x:f>MAX(0,C97*1.15-D97)</x:f>
        <x:v>0</x:v>
      </x:c>
      <x:c r="F97" s="12"/>
      <x:c r="G97" s="11"/>
    </x:row>
    <x:row r="98" ht="15" customHeight="1">
      <x:c r="A98" s="8" t="s">
        <x:v>15</x:v>
      </x:c>
      <x:c r="B98" s="8" t="s">
        <x:v>121</x:v>
      </x:c>
      <x:c r="C98" s="12"/>
      <x:c r="D98" s="12"/>
      <x:c r="E98" s="20" t="n">
        <x:f>MAX(0,C98*1.15-D98)</x:f>
        <x:v>0</x:v>
      </x:c>
      <x:c r="F98" s="12"/>
      <x:c r="G98" s="11"/>
    </x:row>
    <x:row r="99" ht="15" customHeight="1">
      <x:c r="A99" s="8" t="s">
        <x:v>32</x:v>
      </x:c>
      <x:c r="B99" s="8" t="s">
        <x:v>122</x:v>
      </x:c>
      <x:c r="C99" s="12"/>
      <x:c r="D99" s="12"/>
      <x:c r="E99" s="20" t="n">
        <x:f>MAX(0,C99*1.15-D99)</x:f>
        <x:v>0</x:v>
      </x:c>
      <x:c r="F99" s="12"/>
      <x:c r="G99" s="11"/>
    </x:row>
    <x:row r="100" ht="15" customHeight="1">
      <x:c r="A100" s="8" t="s">
        <x:v>15</x:v>
      </x:c>
      <x:c r="B100" s="8" t="s">
        <x:v>123</x:v>
      </x:c>
      <x:c r="C100" s="12"/>
      <x:c r="D100" s="12"/>
      <x:c r="E100" s="20" t="n">
        <x:f>MAX(0,C100*1.15-D100)</x:f>
        <x:v>0</x:v>
      </x:c>
      <x:c r="F100" s="12"/>
      <x:c r="G100" s="11"/>
    </x:row>
    <x:row r="101" ht="15" customHeight="1">
      <x:c r="A101" s="8" t="s">
        <x:v>32</x:v>
      </x:c>
      <x:c r="B101" s="8" t="s">
        <x:v>124</x:v>
      </x:c>
      <x:c r="C101" s="12"/>
      <x:c r="D101" s="12"/>
      <x:c r="E101" s="20" t="n">
        <x:f>MAX(0,C101*1.15-D101)</x:f>
        <x:v>0</x:v>
      </x:c>
      <x:c r="F101" s="12"/>
      <x:c r="G101" s="11"/>
    </x:row>
    <x:row r="102" ht="15" customHeight="1">
      <x:c r="A102" s="8" t="s">
        <x:v>15</x:v>
      </x:c>
      <x:c r="B102" s="8" t="s">
        <x:v>125</x:v>
      </x:c>
      <x:c r="C102" s="12"/>
      <x:c r="D102" s="12"/>
      <x:c r="E102" s="20" t="n">
        <x:f>MAX(0,C102*1.15-D102)</x:f>
        <x:v>0</x:v>
      </x:c>
      <x:c r="F102" s="12"/>
      <x:c r="G102" s="11"/>
    </x:row>
    <x:row r="103" ht="15" customHeight="1">
      <x:c r="A103" s="8" t="s">
        <x:v>15</x:v>
      </x:c>
      <x:c r="B103" s="8" t="s">
        <x:v>126</x:v>
      </x:c>
      <x:c r="C103" s="12"/>
      <x:c r="D103" s="12"/>
      <x:c r="E103" s="20" t="n">
        <x:f>MAX(0,C103*1.15-D103)</x:f>
        <x:v>0</x:v>
      </x:c>
      <x:c r="F103" s="12"/>
      <x:c r="G103" s="11"/>
    </x:row>
    <x:row r="104" ht="15" customHeight="1">
      <x:c r="A104" s="8" t="s">
        <x:v>15</x:v>
      </x:c>
      <x:c r="B104" s="8" t="s">
        <x:v>127</x:v>
      </x:c>
      <x:c r="C104" s="12"/>
      <x:c r="D104" s="12"/>
      <x:c r="E104" s="20" t="n">
        <x:f>MAX(0,C104*1.15-D104)</x:f>
        <x:v>0</x:v>
      </x:c>
      <x:c r="F104" s="12"/>
      <x:c r="G104" s="11"/>
    </x:row>
    <x:row r="105" ht="15" customHeight="1">
      <x:c r="A105" s="8" t="s">
        <x:v>15</x:v>
      </x:c>
      <x:c r="B105" s="8" t="s">
        <x:v>128</x:v>
      </x:c>
      <x:c r="C105" s="12"/>
      <x:c r="D105" s="12"/>
      <x:c r="E105" s="20" t="n">
        <x:f>MAX(0,C105*1.15-D105)</x:f>
        <x:v>0</x:v>
      </x:c>
      <x:c r="F105" s="12"/>
      <x:c r="G105" s="11"/>
    </x:row>
    <x:row r="106" ht="15" customHeight="1">
      <x:c r="A106" s="8" t="s">
        <x:v>15</x:v>
      </x:c>
      <x:c r="B106" s="8" t="s">
        <x:v>129</x:v>
      </x:c>
      <x:c r="C106" s="12"/>
      <x:c r="D106" s="12"/>
      <x:c r="E106" s="20" t="n">
        <x:f>MAX(0,C106*1.15-D106)</x:f>
        <x:v>0</x:v>
      </x:c>
      <x:c r="F106" s="12"/>
      <x:c r="G106" s="11"/>
    </x:row>
    <x:row r="107" ht="15" customHeight="1">
      <x:c r="A107" s="8" t="s">
        <x:v>34</x:v>
      </x:c>
      <x:c r="B107" s="8" t="s">
        <x:v>130</x:v>
      </x:c>
      <x:c r="C107" s="12"/>
      <x:c r="D107" s="12"/>
      <x:c r="E107" s="20" t="n">
        <x:f>MAX(0,C107*1.15-D107)</x:f>
        <x:v>0</x:v>
      </x:c>
      <x:c r="F107" s="12"/>
      <x:c r="G107" s="11"/>
    </x:row>
    <x:row r="108" ht="15" customHeight="1">
      <x:c r="A108" s="8" t="s">
        <x:v>32</x:v>
      </x:c>
      <x:c r="B108" s="8" t="s">
        <x:v>131</x:v>
      </x:c>
      <x:c r="C108" s="12"/>
      <x:c r="D108" s="12"/>
      <x:c r="E108" s="20" t="n">
        <x:f>MAX(0,C108*1.15-D108)</x:f>
        <x:v>0</x:v>
      </x:c>
      <x:c r="F108" s="12"/>
      <x:c r="G108" s="11"/>
    </x:row>
    <x:row r="109" ht="15" customHeight="1">
      <x:c r="A109" s="8" t="s">
        <x:v>18</x:v>
      </x:c>
      <x:c r="B109" s="8" t="s">
        <x:v>132</x:v>
      </x:c>
      <x:c r="C109" s="12"/>
      <x:c r="D109" s="12"/>
      <x:c r="E109" s="20" t="n">
        <x:f>MAX(0,C109*1.15-D109)</x:f>
        <x:v>0</x:v>
      </x:c>
      <x:c r="F109" s="12"/>
      <x:c r="G109" s="11"/>
    </x:row>
    <x:row r="110" ht="15" customHeight="1">
      <x:c r="A110" s="8" t="s">
        <x:v>18</x:v>
      </x:c>
      <x:c r="B110" s="8" t="s">
        <x:v>133</x:v>
      </x:c>
      <x:c r="C110" s="12"/>
      <x:c r="D110" s="12"/>
      <x:c r="E110" s="20" t="n">
        <x:f>MAX(0,C110*1.15-D110)</x:f>
        <x:v>0</x:v>
      </x:c>
      <x:c r="F110" s="12"/>
      <x:c r="G110" s="11"/>
    </x:row>
    <x:row r="111" ht="15" customHeight="1">
      <x:c r="A111" s="8" t="s">
        <x:v>41</x:v>
      </x:c>
      <x:c r="B111" s="8" t="s">
        <x:v>134</x:v>
      </x:c>
      <x:c r="C111" s="12"/>
      <x:c r="D111" s="12"/>
      <x:c r="E111" s="20" t="n">
        <x:f>MAX(0,C111*1.15-D111)</x:f>
        <x:v>0</x:v>
      </x:c>
      <x:c r="F111" s="12"/>
      <x:c r="G111" s="11"/>
    </x:row>
    <x:row r="112" ht="15" customHeight="1">
      <x:c r="A112" s="8" t="s">
        <x:v>15</x:v>
      </x:c>
      <x:c r="B112" s="8" t="s">
        <x:v>135</x:v>
      </x:c>
      <x:c r="C112" s="12"/>
      <x:c r="D112" s="12"/>
      <x:c r="E112" s="20" t="n">
        <x:f>MAX(0,C112*1.15-D112)</x:f>
        <x:v>0</x:v>
      </x:c>
      <x:c r="F112" s="12"/>
      <x:c r="G112" s="11"/>
    </x:row>
    <x:row r="113" ht="15" customHeight="1">
      <x:c r="A113" s="8" t="s">
        <x:v>15</x:v>
      </x:c>
      <x:c r="B113" s="8" t="s">
        <x:v>136</x:v>
      </x:c>
      <x:c r="C113" s="12"/>
      <x:c r="D113" s="12"/>
      <x:c r="E113" s="20" t="n">
        <x:f>MAX(0,C113*1.15-D113)</x:f>
        <x:v>0</x:v>
      </x:c>
      <x:c r="F113" s="12"/>
      <x:c r="G113" s="11"/>
    </x:row>
    <x:row r="114" ht="15" customHeight="1">
      <x:c r="A114" s="8" t="s">
        <x:v>25</x:v>
      </x:c>
      <x:c r="B114" s="8" t="s">
        <x:v>137</x:v>
      </x:c>
      <x:c r="C114" s="12"/>
      <x:c r="D114" s="12"/>
      <x:c r="E114" s="20" t="n">
        <x:f>MAX(0,C114*1.15-D114)</x:f>
        <x:v>0</x:v>
      </x:c>
      <x:c r="F114" s="12"/>
      <x:c r="G114" s="11"/>
    </x:row>
    <x:row r="115" ht="15" customHeight="1">
      <x:c r="A115" s="8" t="s">
        <x:v>15</x:v>
      </x:c>
      <x:c r="B115" s="8" t="s">
        <x:v>138</x:v>
      </x:c>
      <x:c r="C115" s="12"/>
      <x:c r="D115" s="12"/>
      <x:c r="E115" s="20" t="n">
        <x:f>MAX(0,C115*1.15-D115)</x:f>
        <x:v>0</x:v>
      </x:c>
      <x:c r="F115" s="12"/>
      <x:c r="G115" s="11"/>
    </x:row>
    <x:row r="116" ht="15" customHeight="1">
      <x:c r="A116" s="8" t="s">
        <x:v>32</x:v>
      </x:c>
      <x:c r="B116" s="8" t="s">
        <x:v>139</x:v>
      </x:c>
      <x:c r="C116" s="12"/>
      <x:c r="D116" s="12"/>
      <x:c r="E116" s="20" t="n">
        <x:f>MAX(0,C116*1.15-D116)</x:f>
        <x:v>0</x:v>
      </x:c>
      <x:c r="F116" s="12"/>
      <x:c r="G116" s="11"/>
    </x:row>
    <x:row r="117" ht="15" customHeight="1">
      <x:c r="A117" s="8" t="s">
        <x:v>15</x:v>
      </x:c>
      <x:c r="B117" s="8" t="s">
        <x:v>140</x:v>
      </x:c>
      <x:c r="C117" s="12"/>
      <x:c r="D117" s="12"/>
      <x:c r="E117" s="20" t="n">
        <x:f>MAX(0,C117*1.15-D117)</x:f>
        <x:v>0</x:v>
      </x:c>
      <x:c r="F117" s="12"/>
      <x:c r="G117" s="11"/>
    </x:row>
    <x:row r="118" ht="15" customHeight="1">
      <x:c r="A118" s="8" t="s">
        <x:v>15</x:v>
      </x:c>
      <x:c r="B118" s="8" t="s">
        <x:v>141</x:v>
      </x:c>
      <x:c r="C118" s="12"/>
      <x:c r="D118" s="12"/>
      <x:c r="E118" s="20" t="n">
        <x:f>MAX(0,C118*1.15-D118)</x:f>
        <x:v>0</x:v>
      </x:c>
      <x:c r="F118" s="12"/>
      <x:c r="G118" s="11"/>
    </x:row>
    <x:row r="119" ht="15" customHeight="1">
      <x:c r="A119" s="8" t="s">
        <x:v>25</x:v>
      </x:c>
      <x:c r="B119" s="8" t="s">
        <x:v>142</x:v>
      </x:c>
      <x:c r="C119" s="12"/>
      <x:c r="D119" s="12"/>
      <x:c r="E119" s="20" t="n">
        <x:f>MAX(0,C119*1.15-D119)</x:f>
        <x:v>0</x:v>
      </x:c>
      <x:c r="F119" s="12"/>
      <x:c r="G119" s="11"/>
    </x:row>
    <x:row r="120" ht="15" customHeight="1">
      <x:c r="A120" s="8" t="s">
        <x:v>15</x:v>
      </x:c>
      <x:c r="B120" s="8" t="s">
        <x:v>143</x:v>
      </x:c>
      <x:c r="C120" s="12"/>
      <x:c r="D120" s="12"/>
      <x:c r="E120" s="20" t="n">
        <x:f>MAX(0,C120*1.15-D120)</x:f>
        <x:v>0</x:v>
      </x:c>
      <x:c r="F120" s="12"/>
      <x:c r="G120" s="11"/>
    </x:row>
    <x:row r="121" ht="15" customHeight="1">
      <x:c r="A121" s="8" t="s">
        <x:v>34</x:v>
      </x:c>
      <x:c r="B121" s="8" t="s">
        <x:v>144</x:v>
      </x:c>
      <x:c r="C121" s="12"/>
      <x:c r="D121" s="12"/>
      <x:c r="E121" s="20" t="n">
        <x:f>MAX(0,C121*1.15-D121)</x:f>
        <x:v>0</x:v>
      </x:c>
      <x:c r="F121" s="12"/>
      <x:c r="G121" s="11"/>
    </x:row>
    <x:row r="122" ht="15" customHeight="1">
      <x:c r="A122" s="8" t="s">
        <x:v>36</x:v>
      </x:c>
      <x:c r="B122" s="8" t="s">
        <x:v>145</x:v>
      </x:c>
      <x:c r="C122" s="12"/>
      <x:c r="D122" s="12"/>
      <x:c r="E122" s="20" t="n">
        <x:f>MAX(0,C122*1.15-D122)</x:f>
        <x:v>0</x:v>
      </x:c>
      <x:c r="F122" s="12"/>
      <x:c r="G122" s="11"/>
    </x:row>
    <x:row r="123" ht="15" customHeight="1">
      <x:c r="A123" s="8" t="s">
        <x:v>36</x:v>
      </x:c>
      <x:c r="B123" s="8" t="s">
        <x:v>146</x:v>
      </x:c>
      <x:c r="C123" s="12"/>
      <x:c r="D123" s="12"/>
      <x:c r="E123" s="20" t="n">
        <x:f>MAX(0,C123*1.15-D123)</x:f>
        <x:v>0</x:v>
      </x:c>
      <x:c r="F123" s="12"/>
      <x:c r="G123" s="11"/>
    </x:row>
    <x:row r="124" ht="15" customHeight="1">
      <x:c r="A124" s="8" t="s">
        <x:v>15</x:v>
      </x:c>
      <x:c r="B124" s="8" t="s">
        <x:v>147</x:v>
      </x:c>
      <x:c r="C124" s="12"/>
      <x:c r="D124" s="12"/>
      <x:c r="E124" s="20" t="n">
        <x:f>MAX(0,C124*1.15-D124)</x:f>
        <x:v>0</x:v>
      </x:c>
      <x:c r="F124" s="12"/>
      <x:c r="G124" s="11"/>
    </x:row>
    <x:row r="125" ht="15" customHeight="1">
      <x:c r="A125" s="8" t="s">
        <x:v>32</x:v>
      </x:c>
      <x:c r="B125" s="8" t="s">
        <x:v>148</x:v>
      </x:c>
      <x:c r="C125" s="12"/>
      <x:c r="D125" s="12"/>
      <x:c r="E125" s="20" t="n">
        <x:f>MAX(0,C125*1.15-D125)</x:f>
        <x:v>0</x:v>
      </x:c>
      <x:c r="F125" s="12"/>
      <x:c r="G125" s="11"/>
    </x:row>
    <x:row r="126" ht="15" customHeight="1">
      <x:c r="A126" s="8" t="s">
        <x:v>36</x:v>
      </x:c>
      <x:c r="B126" s="8" t="s">
        <x:v>149</x:v>
      </x:c>
      <x:c r="C126" s="12"/>
      <x:c r="D126" s="12"/>
      <x:c r="E126" s="20" t="n">
        <x:f>MAX(0,C126*1.15-D126)</x:f>
        <x:v>0</x:v>
      </x:c>
      <x:c r="F126" s="12"/>
      <x:c r="G126" s="11"/>
    </x:row>
    <x:row r="127" ht="15" customHeight="1">
      <x:c r="A127" s="8" t="s">
        <x:v>36</x:v>
      </x:c>
      <x:c r="B127" s="8" t="s">
        <x:v>150</x:v>
      </x:c>
      <x:c r="C127" s="12"/>
      <x:c r="D127" s="12"/>
      <x:c r="E127" s="20" t="n">
        <x:f>MAX(0,C127*1.15-D127)</x:f>
        <x:v>0</x:v>
      </x:c>
      <x:c r="F127" s="12"/>
      <x:c r="G127" s="11"/>
    </x:row>
    <x:row r="128" ht="15" customHeight="1">
      <x:c r="A128" s="8" t="s">
        <x:v>36</x:v>
      </x:c>
      <x:c r="B128" s="8" t="s">
        <x:v>151</x:v>
      </x:c>
      <x:c r="C128" s="12"/>
      <x:c r="D128" s="12"/>
      <x:c r="E128" s="20" t="n">
        <x:f>MAX(0,C128*1.15-D128)</x:f>
        <x:v>0</x:v>
      </x:c>
      <x:c r="F128" s="12"/>
      <x:c r="G128" s="11"/>
    </x:row>
    <x:row r="129" ht="15" customHeight="1">
      <x:c r="A129" s="8" t="s">
        <x:v>18</x:v>
      </x:c>
      <x:c r="B129" s="8" t="s">
        <x:v>152</x:v>
      </x:c>
      <x:c r="C129" s="12"/>
      <x:c r="D129" s="12"/>
      <x:c r="E129" s="20" t="n">
        <x:f>MAX(0,C129*1.15-D129)</x:f>
        <x:v>0</x:v>
      </x:c>
      <x:c r="F129" s="12"/>
      <x:c r="G129" s="11"/>
    </x:row>
    <x:row r="130" ht="15" customHeight="1">
      <x:c r="A130" s="8" t="s">
        <x:v>36</x:v>
      </x:c>
      <x:c r="B130" s="8" t="s">
        <x:v>153</x:v>
      </x:c>
      <x:c r="C130" s="12"/>
      <x:c r="D130" s="12"/>
      <x:c r="E130" s="20" t="n">
        <x:f>MAX(0,C130*1.15-D130)</x:f>
        <x:v>0</x:v>
      </x:c>
      <x:c r="F130" s="12"/>
      <x:c r="G130" s="11"/>
    </x:row>
    <x:row r="131" ht="15" customHeight="1">
      <x:c r="A131" s="8" t="s">
        <x:v>15</x:v>
      </x:c>
      <x:c r="B131" s="8" t="s">
        <x:v>154</x:v>
      </x:c>
      <x:c r="C131" s="12"/>
      <x:c r="D131" s="12"/>
      <x:c r="E131" s="20" t="n">
        <x:f>MAX(0,C131*1.15-D131)</x:f>
        <x:v>0</x:v>
      </x:c>
      <x:c r="F131" s="12"/>
      <x:c r="G131" s="11"/>
    </x:row>
    <x:row r="132" ht="15" customHeight="1">
      <x:c r="A132" s="8" t="s">
        <x:v>15</x:v>
      </x:c>
      <x:c r="B132" s="8" t="s">
        <x:v>155</x:v>
      </x:c>
      <x:c r="C132" s="12"/>
      <x:c r="D132" s="12"/>
      <x:c r="E132" s="20" t="n">
        <x:f>MAX(0,C132*1.15-D132)</x:f>
        <x:v>0</x:v>
      </x:c>
      <x:c r="F132" s="12"/>
      <x:c r="G132" s="11"/>
    </x:row>
    <x:row r="133" ht="15" customHeight="1">
      <x:c r="A133" s="8" t="s">
        <x:v>41</x:v>
      </x:c>
      <x:c r="B133" s="8" t="s">
        <x:v>156</x:v>
      </x:c>
      <x:c r="C133" s="12"/>
      <x:c r="D133" s="12"/>
      <x:c r="E133" s="20" t="n">
        <x:f>MAX(0,C133*1.15-D133)</x:f>
        <x:v>0</x:v>
      </x:c>
      <x:c r="F133" s="12"/>
      <x:c r="G133" s="11"/>
    </x:row>
    <x:row r="134" ht="15" customHeight="1">
      <x:c r="A134" s="8" t="s">
        <x:v>32</x:v>
      </x:c>
      <x:c r="B134" s="22" t="s">
        <x:v>157</x:v>
      </x:c>
      <x:c r="C134" s="12"/>
      <x:c r="D134" s="12"/>
      <x:c r="E134" s="20" t="n">
        <x:f>MAX(0,C134*1.15-D134)</x:f>
        <x:v>0</x:v>
      </x:c>
      <x:c r="F134" s="12"/>
      <x:c r="G134" s="11"/>
    </x:row>
    <x:row r="135" ht="15" customHeight="1">
      <x:c r="A135" s="8" t="s">
        <x:v>45</x:v>
      </x:c>
      <x:c r="B135" s="8" t="s">
        <x:v>158</x:v>
      </x:c>
      <x:c r="C135" s="12"/>
      <x:c r="D135" s="12"/>
      <x:c r="E135" s="20" t="n">
        <x:f>MAX(0,C135*1.15-D135)</x:f>
        <x:v>0</x:v>
      </x:c>
      <x:c r="F135" s="12"/>
      <x:c r="G135" s="11"/>
    </x:row>
    <x:row r="136" ht="15" customHeight="1">
      <x:c r="A136" s="8" t="s">
        <x:v>15</x:v>
      </x:c>
      <x:c r="B136" s="8" t="s">
        <x:v>159</x:v>
      </x:c>
      <x:c r="C136" s="12"/>
      <x:c r="D136" s="12"/>
      <x:c r="E136" s="20" t="n">
        <x:f>MAX(0,C136*1.15-D136)</x:f>
        <x:v>0</x:v>
      </x:c>
      <x:c r="F136" s="12"/>
      <x:c r="G136" s="11"/>
    </x:row>
    <x:row r="137" ht="15" customHeight="1">
      <x:c r="A137" s="8" t="s">
        <x:v>15</x:v>
      </x:c>
      <x:c r="B137" s="8" t="s">
        <x:v>160</x:v>
      </x:c>
      <x:c r="C137" s="12"/>
      <x:c r="D137" s="12"/>
      <x:c r="E137" s="20" t="n">
        <x:f>MAX(0,C137*1.15-D137)</x:f>
        <x:v>0</x:v>
      </x:c>
      <x:c r="F137" s="12"/>
      <x:c r="G137" s="11"/>
    </x:row>
    <x:row r="138" ht="15" customHeight="1">
      <x:c r="A138" s="8" t="s">
        <x:v>36</x:v>
      </x:c>
      <x:c r="B138" s="8" t="s">
        <x:v>161</x:v>
      </x:c>
      <x:c r="C138" s="12"/>
      <x:c r="D138" s="12"/>
      <x:c r="E138" s="20" t="n">
        <x:f>MAX(0,C138*1.15-D138)</x:f>
        <x:v>0</x:v>
      </x:c>
      <x:c r="F138" s="12"/>
      <x:c r="G138" s="11"/>
    </x:row>
    <x:row r="139" ht="15" customHeight="1">
      <x:c r="A139" s="8" t="s">
        <x:v>36</x:v>
      </x:c>
      <x:c r="B139" s="8" t="s">
        <x:v>162</x:v>
      </x:c>
      <x:c r="C139" s="12"/>
      <x:c r="D139" s="12"/>
      <x:c r="E139" s="20" t="n">
        <x:f>MAX(0,C139*1.15-D139)</x:f>
        <x:v>0</x:v>
      </x:c>
      <x:c r="F139" s="12"/>
      <x:c r="G139" s="11"/>
    </x:row>
    <x:row r="140" ht="15" customHeight="1">
      <x:c r="A140" s="8" t="s">
        <x:v>36</x:v>
      </x:c>
      <x:c r="B140" s="8" t="s">
        <x:v>163</x:v>
      </x:c>
      <x:c r="C140" s="12"/>
      <x:c r="D140" s="12"/>
      <x:c r="E140" s="20" t="n">
        <x:f>MAX(0,C140*1.15-D140)</x:f>
        <x:v>0</x:v>
      </x:c>
      <x:c r="F140" s="12"/>
      <x:c r="G140" s="11"/>
    </x:row>
    <x:row r="141" ht="15" customHeight="1">
      <x:c r="A141" s="8" t="s">
        <x:v>15</x:v>
      </x:c>
      <x:c r="B141" s="14" t="s">
        <x:v>164</x:v>
      </x:c>
      <x:c r="C141" s="12"/>
      <x:c r="D141" s="12"/>
      <x:c r="E141" s="20" t="n">
        <x:f>MAX(0,C141*1.15-D141)</x:f>
        <x:v>0</x:v>
      </x:c>
      <x:c r="F141" s="12"/>
      <x:c r="G141" s="11"/>
    </x:row>
    <x:row r="142" ht="15" customHeight="1">
      <x:c r="A142" s="8" t="s">
        <x:v>25</x:v>
      </x:c>
      <x:c r="B142" s="8" t="s">
        <x:v>165</x:v>
      </x:c>
      <x:c r="C142" s="12"/>
      <x:c r="D142" s="12"/>
      <x:c r="E142" s="20" t="n">
        <x:f>MAX(0,C142*1.15-D142)</x:f>
        <x:v>0</x:v>
      </x:c>
      <x:c r="F142" s="12"/>
      <x:c r="G142" s="11"/>
    </x:row>
    <x:row r="143" ht="15" customHeight="1">
      <x:c r="A143" s="8" t="s">
        <x:v>32</x:v>
      </x:c>
      <x:c r="B143" s="8" t="s">
        <x:v>166</x:v>
      </x:c>
      <x:c r="C143" s="12"/>
      <x:c r="D143" s="12"/>
      <x:c r="E143" s="20" t="n">
        <x:f>MAX(0,C143*1.15-D143)</x:f>
        <x:v>0</x:v>
      </x:c>
      <x:c r="F143" s="12"/>
      <x:c r="G143" s="11"/>
    </x:row>
    <x:row r="144" ht="15" customHeight="1">
      <x:c r="A144" s="8" t="s">
        <x:v>15</x:v>
      </x:c>
      <x:c r="B144" s="8" t="s">
        <x:v>167</x:v>
      </x:c>
      <x:c r="C144" s="12"/>
      <x:c r="D144" s="12"/>
      <x:c r="E144" s="20" t="n">
        <x:f>MAX(0,C144*1.15-D144)</x:f>
        <x:v>0</x:v>
      </x:c>
      <x:c r="F144" s="12"/>
      <x:c r="G144" s="11"/>
    </x:row>
    <x:row r="145" ht="15" customHeight="1">
      <x:c r="A145" s="8" t="s">
        <x:v>32</x:v>
      </x:c>
      <x:c r="B145" s="8" t="s">
        <x:v>168</x:v>
      </x:c>
      <x:c r="C145" s="12"/>
      <x:c r="D145" s="12"/>
      <x:c r="E145" s="20" t="n">
        <x:f>MAX(0,C145*1.15-D145)</x:f>
        <x:v>0</x:v>
      </x:c>
      <x:c r="F145" s="12"/>
      <x:c r="G145" s="11"/>
    </x:row>
    <x:row r="146" ht="15" customHeight="1">
      <x:c r="A146" s="8" t="s">
        <x:v>15</x:v>
      </x:c>
      <x:c r="B146" s="8" t="s">
        <x:v>169</x:v>
      </x:c>
      <x:c r="C146" s="12"/>
      <x:c r="D146" s="12"/>
      <x:c r="E146" s="20" t="n">
        <x:f>MAX(0,C146*1.15-D146)</x:f>
        <x:v>0</x:v>
      </x:c>
      <x:c r="F146" s="12"/>
      <x:c r="G146" s="11"/>
    </x:row>
    <x:row r="147" ht="15" customHeight="1">
      <x:c r="A147" s="8" t="s">
        <x:v>15</x:v>
      </x:c>
      <x:c r="B147" s="8" t="s">
        <x:v>170</x:v>
      </x:c>
      <x:c r="C147" s="12"/>
      <x:c r="D147" s="12"/>
      <x:c r="E147" s="20" t="n">
        <x:f>MAX(0,C147*1.15-D147)</x:f>
        <x:v>0</x:v>
      </x:c>
      <x:c r="F147" s="12"/>
      <x:c r="G147" s="11"/>
    </x:row>
    <x:row r="148" ht="15" customHeight="1">
      <x:c r="A148" s="8" t="s">
        <x:v>25</x:v>
      </x:c>
      <x:c r="B148" s="8" t="s">
        <x:v>171</x:v>
      </x:c>
      <x:c r="C148" s="12"/>
      <x:c r="D148" s="12"/>
      <x:c r="E148" s="20" t="n">
        <x:f>MAX(0,C148*1.15-D148)</x:f>
        <x:v>0</x:v>
      </x:c>
      <x:c r="F148" s="12"/>
      <x:c r="G148" s="11"/>
    </x:row>
    <x:row r="149" ht="15" customHeight="1">
      <x:c r="A149" s="8" t="s">
        <x:v>15</x:v>
      </x:c>
      <x:c r="B149" s="8" t="s">
        <x:v>172</x:v>
      </x:c>
      <x:c r="C149" s="12"/>
      <x:c r="D149" s="12"/>
      <x:c r="E149" s="20" t="n">
        <x:f>MAX(0,C149*1.15-D149)</x:f>
        <x:v>0</x:v>
      </x:c>
      <x:c r="F149" s="12"/>
      <x:c r="G149" s="11"/>
    </x:row>
    <x:row r="150" ht="15" customHeight="1">
      <x:c r="A150" s="8" t="s">
        <x:v>32</x:v>
      </x:c>
      <x:c r="B150" s="8" t="s">
        <x:v>173</x:v>
      </x:c>
      <x:c r="C150" s="12"/>
      <x:c r="D150" s="12"/>
      <x:c r="E150" s="20" t="n">
        <x:f>MAX(0,C150*1.15-D150)</x:f>
        <x:v>0</x:v>
      </x:c>
      <x:c r="F150" s="12"/>
      <x:c r="G150" s="11"/>
    </x:row>
    <x:row r="151" ht="15" customHeight="1">
      <x:c r="A151" s="8" t="s">
        <x:v>34</x:v>
      </x:c>
      <x:c r="B151" s="8" t="s">
        <x:v>174</x:v>
      </x:c>
      <x:c r="C151" s="12"/>
      <x:c r="D151" s="12"/>
      <x:c r="E151" s="20" t="n">
        <x:f>MAX(0,C151*1.15-D151)</x:f>
        <x:v>0</x:v>
      </x:c>
      <x:c r="F151" s="12"/>
      <x:c r="G151" s="11"/>
    </x:row>
    <x:row r="152" ht="15" customHeight="1">
      <x:c r="A152" s="8" t="s">
        <x:v>32</x:v>
      </x:c>
      <x:c r="B152" s="8" t="s">
        <x:v>175</x:v>
      </x:c>
      <x:c r="C152" s="12"/>
      <x:c r="D152" s="12"/>
      <x:c r="E152" s="20" t="n">
        <x:f>MAX(0,C152*1.15-D152)</x:f>
        <x:v>0</x:v>
      </x:c>
      <x:c r="F152" s="12"/>
      <x:c r="G152" s="11"/>
    </x:row>
    <x:row r="153" ht="15" customHeight="1">
      <x:c r="A153" s="8" t="s">
        <x:v>15</x:v>
      </x:c>
      <x:c r="B153" s="8" t="s">
        <x:v>176</x:v>
      </x:c>
      <x:c r="C153" s="12"/>
      <x:c r="D153" s="12"/>
      <x:c r="E153" s="20" t="n">
        <x:f>MAX(0,C153*1.15-D153)</x:f>
        <x:v>0</x:v>
      </x:c>
      <x:c r="F153" s="12"/>
      <x:c r="G153" s="11"/>
    </x:row>
    <x:row r="154" ht="15" customHeight="1">
      <x:c r="A154" s="8" t="s">
        <x:v>15</x:v>
      </x:c>
      <x:c r="B154" s="8" t="s">
        <x:v>177</x:v>
      </x:c>
      <x:c r="C154" s="12"/>
      <x:c r="D154" s="12"/>
      <x:c r="E154" s="20" t="n">
        <x:f>MAX(0,C154*1.15-D154)</x:f>
        <x:v>0</x:v>
      </x:c>
      <x:c r="F154" s="12"/>
      <x:c r="G154" s="11"/>
    </x:row>
    <x:row r="155" ht="15" customHeight="1">
      <x:c r="A155" s="8" t="s">
        <x:v>25</x:v>
      </x:c>
      <x:c r="B155" s="8" t="s">
        <x:v>178</x:v>
      </x:c>
      <x:c r="C155" s="12"/>
      <x:c r="D155" s="12"/>
      <x:c r="E155" s="20" t="n">
        <x:f>MAX(0,C155*1.15-D155)</x:f>
        <x:v>0</x:v>
      </x:c>
      <x:c r="F155" s="12"/>
      <x:c r="G155" s="11"/>
    </x:row>
    <x:row r="156" ht="15" customHeight="1">
      <x:c r="A156" s="8" t="s">
        <x:v>41</x:v>
      </x:c>
      <x:c r="B156" s="8" t="s">
        <x:v>179</x:v>
      </x:c>
      <x:c r="C156" s="12"/>
      <x:c r="D156" s="12"/>
      <x:c r="E156" s="20" t="n">
        <x:f>MAX(0,C156*1.15-D156)</x:f>
        <x:v>0</x:v>
      </x:c>
      <x:c r="F156" s="12"/>
      <x:c r="G156" s="11"/>
    </x:row>
    <x:row r="157" ht="15" customHeight="1">
      <x:c r="A157" s="8" t="s">
        <x:v>32</x:v>
      </x:c>
      <x:c r="B157" s="8" t="s">
        <x:v>180</x:v>
      </x:c>
      <x:c r="C157" s="12"/>
      <x:c r="D157" s="12"/>
      <x:c r="E157" s="20" t="n">
        <x:f>MAX(0,C157*1.15-D157)</x:f>
        <x:v>0</x:v>
      </x:c>
      <x:c r="F157" s="12"/>
      <x:c r="G157" s="11"/>
    </x:row>
    <x:row r="158" ht="15" customHeight="1">
      <x:c r="A158" s="8" t="s">
        <x:v>32</x:v>
      </x:c>
      <x:c r="B158" s="8" t="s">
        <x:v>181</x:v>
      </x:c>
      <x:c r="C158" s="12"/>
      <x:c r="D158" s="12"/>
      <x:c r="E158" s="20" t="n">
        <x:f>MAX(0,C158*1.15-D158)</x:f>
        <x:v>0</x:v>
      </x:c>
      <x:c r="F158" s="12"/>
      <x:c r="G158" s="11"/>
    </x:row>
    <x:row r="159" ht="15" customHeight="1">
      <x:c r="A159" s="8" t="s">
        <x:v>41</x:v>
      </x:c>
      <x:c r="B159" s="8" t="s">
        <x:v>182</x:v>
      </x:c>
      <x:c r="C159" s="12"/>
      <x:c r="D159" s="12"/>
      <x:c r="E159" s="20" t="n">
        <x:f>MAX(0,C159*1.15-D159)</x:f>
        <x:v>0</x:v>
      </x:c>
      <x:c r="F159" s="12"/>
      <x:c r="G159" s="11"/>
    </x:row>
    <x:row r="160" ht="15" customHeight="1">
      <x:c r="A160" s="8" t="s">
        <x:v>41</x:v>
      </x:c>
      <x:c r="B160" s="8" t="s">
        <x:v>183</x:v>
      </x:c>
      <x:c r="C160" s="12"/>
      <x:c r="D160" s="12"/>
      <x:c r="E160" s="20" t="n">
        <x:f>MAX(0,C160*1.15-D160)</x:f>
        <x:v>0</x:v>
      </x:c>
      <x:c r="F160" s="12"/>
      <x:c r="G160" s="11"/>
    </x:row>
    <x:row r="161" ht="15" customHeight="1">
      <x:c r="A161" s="8" t="s">
        <x:v>15</x:v>
      </x:c>
      <x:c r="B161" s="8" t="s">
        <x:v>184</x:v>
      </x:c>
      <x:c r="C161" s="12"/>
      <x:c r="D161" s="12"/>
      <x:c r="E161" s="20" t="n">
        <x:f>MAX(0,C161*1.15-D161)</x:f>
        <x:v>0</x:v>
      </x:c>
      <x:c r="F161" s="12"/>
      <x:c r="G161" s="11"/>
    </x:row>
    <x:row r="162" ht="15" customHeight="1">
      <x:c r="A162" s="8" t="s">
        <x:v>15</x:v>
      </x:c>
      <x:c r="B162" s="8" t="s">
        <x:v>185</x:v>
      </x:c>
      <x:c r="C162" s="12"/>
      <x:c r="D162" s="12"/>
      <x:c r="E162" s="20" t="n">
        <x:f>MAX(0,C162*1.15-D162)</x:f>
        <x:v>0</x:v>
      </x:c>
      <x:c r="F162" s="12"/>
      <x:c r="G162" s="11"/>
    </x:row>
    <x:row r="163" ht="15" customHeight="1">
      <x:c r="A163" s="8" t="s">
        <x:v>15</x:v>
      </x:c>
      <x:c r="B163" s="8" t="s">
        <x:v>186</x:v>
      </x:c>
      <x:c r="C163" s="12"/>
      <x:c r="D163" s="12"/>
      <x:c r="E163" s="20" t="n">
        <x:f>MAX(0,C163*1.15-D163)</x:f>
        <x:v>0</x:v>
      </x:c>
      <x:c r="F163" s="12"/>
      <x:c r="G163" s="11"/>
    </x:row>
    <x:row r="164" ht="15" customHeight="1">
      <x:c r="A164" s="8" t="s">
        <x:v>15</x:v>
      </x:c>
      <x:c r="B164" s="8" t="s">
        <x:v>187</x:v>
      </x:c>
      <x:c r="C164" s="12"/>
      <x:c r="D164" s="12"/>
      <x:c r="E164" s="20" t="n">
        <x:f>MAX(0,C164*1.15-D164)</x:f>
        <x:v>0</x:v>
      </x:c>
      <x:c r="F164" s="12"/>
      <x:c r="G164" s="11"/>
    </x:row>
    <x:row r="165" ht="15" customHeight="1">
      <x:c r="A165" s="8" t="s">
        <x:v>36</x:v>
      </x:c>
      <x:c r="B165" s="8" t="s">
        <x:v>188</x:v>
      </x:c>
      <x:c r="C165" s="12"/>
      <x:c r="D165" s="12"/>
      <x:c r="E165" s="20" t="n">
        <x:f>MAX(0,C165*1.15-D165)</x:f>
        <x:v>0</x:v>
      </x:c>
      <x:c r="F165" s="12"/>
      <x:c r="G165" s="11"/>
    </x:row>
    <x:row r="166" ht="15" customHeight="1">
      <x:c r="A166" s="8" t="s">
        <x:v>36</x:v>
      </x:c>
      <x:c r="B166" s="8" t="s">
        <x:v>189</x:v>
      </x:c>
      <x:c r="C166" s="12"/>
      <x:c r="D166" s="12"/>
      <x:c r="E166" s="20" t="n">
        <x:f>MAX(0,C166*1.15-D166)</x:f>
        <x:v>0</x:v>
      </x:c>
      <x:c r="F166" s="12"/>
      <x:c r="G166" s="11"/>
    </x:row>
    <x:row r="167" ht="15" customHeight="1">
      <x:c r="A167" s="8" t="s">
        <x:v>15</x:v>
      </x:c>
      <x:c r="B167" s="8" t="s">
        <x:v>190</x:v>
      </x:c>
      <x:c r="C167" s="12"/>
      <x:c r="D167" s="12"/>
      <x:c r="E167" s="20" t="n">
        <x:f>MAX(0,C167*1.15-D167)</x:f>
        <x:v>0</x:v>
      </x:c>
      <x:c r="F167" s="12"/>
      <x:c r="G167" s="11"/>
    </x:row>
    <x:row r="168" ht="15" customHeight="1">
      <x:c r="A168" s="8" t="s">
        <x:v>36</x:v>
      </x:c>
      <x:c r="B168" s="8" t="s">
        <x:v>191</x:v>
      </x:c>
      <x:c r="C168" s="12"/>
      <x:c r="D168" s="12"/>
      <x:c r="E168" s="20" t="n">
        <x:f>MAX(0,C168*1.15-D168)</x:f>
        <x:v>0</x:v>
      </x:c>
      <x:c r="F168" s="12"/>
      <x:c r="G168" s="11"/>
    </x:row>
    <x:row r="169" ht="15" customHeight="1">
      <x:c r="A169" s="8" t="s">
        <x:v>15</x:v>
      </x:c>
      <x:c r="B169" s="8" t="s">
        <x:v>192</x:v>
      </x:c>
      <x:c r="C169" s="12"/>
      <x:c r="D169" s="12"/>
      <x:c r="E169" s="20" t="n">
        <x:f>MAX(0,C169*1.15-D169)</x:f>
        <x:v>0</x:v>
      </x:c>
      <x:c r="F169" s="12"/>
      <x:c r="G169" s="11"/>
    </x:row>
    <x:row r="170" ht="15" customHeight="1">
      <x:c r="A170" s="8" t="s">
        <x:v>15</x:v>
      </x:c>
      <x:c r="B170" s="8" t="s">
        <x:v>193</x:v>
      </x:c>
      <x:c r="C170" s="12"/>
      <x:c r="D170" s="12"/>
      <x:c r="E170" s="20" t="n">
        <x:f>MAX(0,C170*1.15-D170)</x:f>
        <x:v>0</x:v>
      </x:c>
      <x:c r="F170" s="12"/>
      <x:c r="G170" s="11"/>
    </x:row>
    <x:row r="171" ht="15" customHeight="1">
      <x:c r="A171" s="8" t="s">
        <x:v>15</x:v>
      </x:c>
      <x:c r="B171" s="8" t="s">
        <x:v>194</x:v>
      </x:c>
      <x:c r="C171" s="12"/>
      <x:c r="D171" s="12"/>
      <x:c r="E171" s="20" t="n">
        <x:f>MAX(0,C171*1.15-D171)</x:f>
        <x:v>0</x:v>
      </x:c>
      <x:c r="F171" s="12"/>
      <x:c r="G171" s="11"/>
    </x:row>
    <x:row r="172" ht="15" customHeight="1">
      <x:c r="A172" s="8" t="s">
        <x:v>41</x:v>
      </x:c>
      <x:c r="B172" s="8" t="s">
        <x:v>195</x:v>
      </x:c>
      <x:c r="C172" s="12"/>
      <x:c r="D172" s="12"/>
      <x:c r="E172" s="20" t="n">
        <x:f>MAX(0,C172*1.15-D172)</x:f>
        <x:v>0</x:v>
      </x:c>
      <x:c r="F172" s="12"/>
      <x:c r="G172" s="11"/>
    </x:row>
    <x:row r="173" ht="15" customHeight="1">
      <x:c r="A173" s="8" t="s">
        <x:v>32</x:v>
      </x:c>
      <x:c r="B173" s="8" t="s">
        <x:v>196</x:v>
      </x:c>
      <x:c r="C173" s="12"/>
      <x:c r="D173" s="12"/>
      <x:c r="E173" s="20" t="n">
        <x:f>MAX(0,C173*1.15-D173)</x:f>
        <x:v>0</x:v>
      </x:c>
      <x:c r="F173" s="12"/>
      <x:c r="G173" s="11"/>
    </x:row>
    <x:row r="174" ht="15" customHeight="1">
      <x:c r="A174" s="8" t="s">
        <x:v>15</x:v>
      </x:c>
      <x:c r="B174" s="8" t="s">
        <x:v>197</x:v>
      </x:c>
      <x:c r="C174" s="12"/>
      <x:c r="D174" s="12"/>
      <x:c r="E174" s="20" t="n">
        <x:f>MAX(0,C174*1.15-D174)</x:f>
        <x:v>0</x:v>
      </x:c>
      <x:c r="F174" s="12"/>
      <x:c r="G174" s="11"/>
    </x:row>
    <x:row r="175" ht="15" customHeight="1">
      <x:c r="A175" s="8" t="s">
        <x:v>32</x:v>
      </x:c>
      <x:c r="B175" s="8" t="s">
        <x:v>198</x:v>
      </x:c>
      <x:c r="C175" s="12"/>
      <x:c r="D175" s="12"/>
      <x:c r="E175" s="20" t="n">
        <x:f>MAX(0,C175*1.15-D175)</x:f>
        <x:v>0</x:v>
      </x:c>
      <x:c r="F175" s="12"/>
      <x:c r="G175" s="11"/>
    </x:row>
    <x:row r="176" ht="15" customHeight="1">
      <x:c r="A176" s="8" t="s">
        <x:v>15</x:v>
      </x:c>
      <x:c r="B176" s="8" t="s">
        <x:v>199</x:v>
      </x:c>
      <x:c r="C176" s="12"/>
      <x:c r="D176" s="12"/>
      <x:c r="E176" s="20" t="n">
        <x:f>MAX(0,C176*1.15-D176)</x:f>
        <x:v>0</x:v>
      </x:c>
      <x:c r="F176" s="12"/>
      <x:c r="G176" s="11"/>
    </x:row>
    <x:row r="177" ht="15" customHeight="1">
      <x:c r="A177" s="8" t="s">
        <x:v>18</x:v>
      </x:c>
      <x:c r="B177" s="8" t="s">
        <x:v>200</x:v>
      </x:c>
      <x:c r="C177" s="12"/>
      <x:c r="D177" s="12"/>
      <x:c r="E177" s="20" t="n">
        <x:f>MAX(0,C177*1.15-D177)</x:f>
        <x:v>0</x:v>
      </x:c>
      <x:c r="F177" s="12"/>
      <x:c r="G177" s="11"/>
    </x:row>
    <x:row r="178" ht="15" customHeight="1">
      <x:c r="A178" s="8" t="s">
        <x:v>15</x:v>
      </x:c>
      <x:c r="B178" s="8" t="s">
        <x:v>201</x:v>
      </x:c>
      <x:c r="C178" s="12"/>
      <x:c r="D178" s="12"/>
      <x:c r="E178" s="20" t="n">
        <x:f>MAX(0,C178*1.15-D178)</x:f>
        <x:v>0</x:v>
      </x:c>
      <x:c r="F178" s="12"/>
      <x:c r="G178" s="11"/>
    </x:row>
    <x:row r="179" ht="15" customHeight="1">
      <x:c r="A179" s="8" t="s">
        <x:v>34</x:v>
      </x:c>
      <x:c r="B179" s="8" t="s">
        <x:v>202</x:v>
      </x:c>
      <x:c r="C179" s="12"/>
      <x:c r="D179" s="12"/>
      <x:c r="E179" s="20" t="n">
        <x:f>MAX(0,C179*1.15-D179)</x:f>
        <x:v>0</x:v>
      </x:c>
      <x:c r="F179" s="12"/>
      <x:c r="G179" s="11"/>
    </x:row>
    <x:row r="180" ht="15" customHeight="1">
      <x:c r="A180" s="8" t="s">
        <x:v>36</x:v>
      </x:c>
      <x:c r="B180" s="8" t="s">
        <x:v>203</x:v>
      </x:c>
      <x:c r="C180" s="12"/>
      <x:c r="D180" s="12"/>
      <x:c r="E180" s="20" t="n">
        <x:f>MAX(0,C180*1.15-D180)</x:f>
        <x:v>0</x:v>
      </x:c>
      <x:c r="F180" s="12"/>
      <x:c r="G180" s="11"/>
    </x:row>
    <x:row r="181" ht="15" customHeight="1">
      <x:c r="A181" s="8" t="s">
        <x:v>32</x:v>
      </x:c>
      <x:c r="B181" s="8" t="s">
        <x:v>204</x:v>
      </x:c>
      <x:c r="C181" s="12"/>
      <x:c r="D181" s="12"/>
      <x:c r="E181" s="20" t="n">
        <x:f>MAX(0,C181*1.15-D181)</x:f>
        <x:v>0</x:v>
      </x:c>
      <x:c r="F181" s="12"/>
      <x:c r="G181" s="11"/>
    </x:row>
    <x:row r="182" ht="15" customHeight="1">
      <x:c r="A182" s="8" t="s">
        <x:v>18</x:v>
      </x:c>
      <x:c r="B182" s="8" t="s">
        <x:v>205</x:v>
      </x:c>
      <x:c r="C182" s="12"/>
      <x:c r="D182" s="12"/>
      <x:c r="E182" s="20" t="n">
        <x:f>MAX(0,C182*1.15-D182)</x:f>
        <x:v>0</x:v>
      </x:c>
      <x:c r="F182" s="12"/>
      <x:c r="G182" s="11"/>
    </x:row>
    <x:row r="183" ht="15" customHeight="1">
      <x:c r="A183" s="8" t="s">
        <x:v>36</x:v>
      </x:c>
      <x:c r="B183" s="8" t="s">
        <x:v>206</x:v>
      </x:c>
      <x:c r="C183" s="12"/>
      <x:c r="D183" s="12"/>
      <x:c r="E183" s="20" t="n">
        <x:f>MAX(0,C183*1.15-D183)</x:f>
        <x:v>0</x:v>
      </x:c>
      <x:c r="F183" s="12"/>
      <x:c r="G183" s="11"/>
    </x:row>
    <x:row r="184" ht="15" customHeight="1">
      <x:c r="A184" s="8" t="s">
        <x:v>36</x:v>
      </x:c>
      <x:c r="B184" s="8" t="s">
        <x:v>207</x:v>
      </x:c>
      <x:c r="C184" s="12"/>
      <x:c r="D184" s="12"/>
      <x:c r="E184" s="20" t="n">
        <x:f>MAX(0,C184*1.15-D184)</x:f>
        <x:v>0</x:v>
      </x:c>
      <x:c r="F184" s="12"/>
      <x:c r="G184" s="11"/>
    </x:row>
    <x:row r="185" ht="15" customHeight="1">
      <x:c r="A185" s="8" t="s">
        <x:v>36</x:v>
      </x:c>
      <x:c r="B185" s="8" t="s">
        <x:v>208</x:v>
      </x:c>
      <x:c r="C185" s="12"/>
      <x:c r="D185" s="12"/>
      <x:c r="E185" s="20" t="n">
        <x:f>MAX(0,C185*1.15-D185)</x:f>
        <x:v>0</x:v>
      </x:c>
      <x:c r="F185" s="12"/>
      <x:c r="G185" s="11"/>
    </x:row>
    <x:row r="186" ht="15" customHeight="1">
      <x:c r="A186" s="8" t="s">
        <x:v>36</x:v>
      </x:c>
      <x:c r="B186" s="8" t="s">
        <x:v>209</x:v>
      </x:c>
      <x:c r="C186" s="12"/>
      <x:c r="D186" s="12"/>
      <x:c r="E186" s="20" t="n">
        <x:f>MAX(0,C186*1.15-D186)</x:f>
        <x:v>0</x:v>
      </x:c>
      <x:c r="F186" s="12"/>
      <x:c r="G186" s="11"/>
    </x:row>
    <x:row r="187" ht="15" customHeight="1">
      <x:c r="A187" s="8" t="s">
        <x:v>36</x:v>
      </x:c>
      <x:c r="B187" s="8" t="s">
        <x:v>210</x:v>
      </x:c>
      <x:c r="C187" s="12"/>
      <x:c r="D187" s="12"/>
      <x:c r="E187" s="20" t="n">
        <x:f>MAX(0,C187*1.15-D187)</x:f>
        <x:v>0</x:v>
      </x:c>
      <x:c r="F187" s="12"/>
      <x:c r="G187" s="11"/>
    </x:row>
    <x:row r="188" ht="15" customHeight="1">
      <x:c r="A188" s="8" t="s">
        <x:v>15</x:v>
      </x:c>
      <x:c r="B188" s="8" t="s">
        <x:v>211</x:v>
      </x:c>
      <x:c r="C188" s="12"/>
      <x:c r="D188" s="12"/>
      <x:c r="E188" s="20" t="n">
        <x:f>MAX(0,C188*1.15-D188)</x:f>
        <x:v>0</x:v>
      </x:c>
      <x:c r="F188" s="12"/>
      <x:c r="G188" s="11"/>
    </x:row>
    <x:row r="189" ht="15" customHeight="1">
      <x:c r="A189" s="8" t="s">
        <x:v>36</x:v>
      </x:c>
      <x:c r="B189" s="8" t="s">
        <x:v>212</x:v>
      </x:c>
      <x:c r="C189" s="12"/>
      <x:c r="D189" s="12"/>
      <x:c r="E189" s="20" t="n">
        <x:f>MAX(0,C189*1.15-D189)</x:f>
        <x:v>0</x:v>
      </x:c>
      <x:c r="F189" s="12"/>
      <x:c r="G189" s="11"/>
    </x:row>
    <x:row r="190" ht="15" customHeight="1">
      <x:c r="A190" s="8" t="s">
        <x:v>36</x:v>
      </x:c>
      <x:c r="B190" s="8" t="s">
        <x:v>213</x:v>
      </x:c>
      <x:c r="C190" s="12"/>
      <x:c r="D190" s="12"/>
      <x:c r="E190" s="20" t="n">
        <x:f>MAX(0,C190*1.15-D190)</x:f>
        <x:v>0</x:v>
      </x:c>
      <x:c r="F190" s="12"/>
      <x:c r="G190" s="11"/>
    </x:row>
    <x:row r="191" ht="15" customHeight="1">
      <x:c r="A191" s="8" t="s">
        <x:v>32</x:v>
      </x:c>
      <x:c r="B191" s="8" t="s">
        <x:v>214</x:v>
      </x:c>
      <x:c r="C191" s="12"/>
      <x:c r="D191" s="12"/>
      <x:c r="E191" s="20" t="n">
        <x:f>MAX(0,C191*1.15-D191)</x:f>
        <x:v>0</x:v>
      </x:c>
      <x:c r="F191" s="12"/>
      <x:c r="G191" s="11"/>
    </x:row>
    <x:row r="192" ht="15" customHeight="1">
      <x:c r="A192" s="8" t="s">
        <x:v>15</x:v>
      </x:c>
      <x:c r="B192" s="8" t="s">
        <x:v>215</x:v>
      </x:c>
      <x:c r="C192" s="12"/>
      <x:c r="D192" s="12"/>
      <x:c r="E192" s="20" t="n">
        <x:f>MAX(0,C192*1.15-D192)</x:f>
        <x:v>0</x:v>
      </x:c>
      <x:c r="F192" s="12"/>
      <x:c r="G192" s="11"/>
    </x:row>
    <x:row r="193" ht="15" customHeight="1">
      <x:c r="A193" s="8" t="s">
        <x:v>15</x:v>
      </x:c>
      <x:c r="B193" s="8" t="s">
        <x:v>216</x:v>
      </x:c>
      <x:c r="C193" s="12"/>
      <x:c r="D193" s="12"/>
      <x:c r="E193" s="20" t="n">
        <x:f>MAX(0,C193*1.15-D193)</x:f>
        <x:v>0</x:v>
      </x:c>
      <x:c r="F193" s="12"/>
      <x:c r="G193" s="11"/>
    </x:row>
    <x:row r="194" ht="15" customHeight="1">
      <x:c r="A194" s="8" t="s">
        <x:v>25</x:v>
      </x:c>
      <x:c r="B194" s="8" t="s">
        <x:v>217</x:v>
      </x:c>
      <x:c r="C194" s="12"/>
      <x:c r="D194" s="12"/>
      <x:c r="E194" s="20" t="n">
        <x:f>MAX(0,C194*1.15-D194)</x:f>
        <x:v>0</x:v>
      </x:c>
      <x:c r="F194" s="12"/>
      <x:c r="G194" s="11"/>
    </x:row>
    <x:row r="195" ht="15" customHeight="1">
      <x:c r="A195" s="8" t="s">
        <x:v>15</x:v>
      </x:c>
      <x:c r="B195" s="8" t="s">
        <x:v>218</x:v>
      </x:c>
      <x:c r="C195" s="12"/>
      <x:c r="D195" s="12"/>
      <x:c r="E195" s="20" t="n">
        <x:f>MAX(0,C195*1.15-D195)</x:f>
        <x:v>0</x:v>
      </x:c>
      <x:c r="F195" s="12"/>
      <x:c r="G195" s="11"/>
    </x:row>
    <x:row r="196" ht="15" customHeight="1">
      <x:c r="A196" s="8" t="s">
        <x:v>15</x:v>
      </x:c>
      <x:c r="B196" s="8" t="s">
        <x:v>219</x:v>
      </x:c>
      <x:c r="C196" s="12"/>
      <x:c r="D196" s="12"/>
      <x:c r="E196" s="20" t="n">
        <x:f>MAX(0,C196*1.15-D196)</x:f>
        <x:v>0</x:v>
      </x:c>
      <x:c r="F196" s="12"/>
      <x:c r="G196" s="11"/>
    </x:row>
    <x:row r="197" ht="15" customHeight="1">
      <x:c r="A197" s="8" t="s">
        <x:v>34</x:v>
      </x:c>
      <x:c r="B197" s="8" t="s">
        <x:v>220</x:v>
      </x:c>
      <x:c r="C197" s="12"/>
      <x:c r="D197" s="12"/>
      <x:c r="E197" s="20" t="n">
        <x:f>MAX(0,C197*1.15-D197)</x:f>
        <x:v>0</x:v>
      </x:c>
      <x:c r="F197" s="12"/>
      <x:c r="G197" s="11"/>
    </x:row>
    <x:row r="198" ht="15" customHeight="1">
      <x:c r="A198" s="8" t="s">
        <x:v>15</x:v>
      </x:c>
      <x:c r="B198" s="8" t="s">
        <x:v>221</x:v>
      </x:c>
      <x:c r="C198" s="12"/>
      <x:c r="D198" s="12"/>
      <x:c r="E198" s="20" t="n">
        <x:f>MAX(0,C198*1.15-D198)</x:f>
        <x:v>0</x:v>
      </x:c>
      <x:c r="F198" s="12"/>
      <x:c r="G198" s="11"/>
    </x:row>
    <x:row r="199" ht="15" customHeight="1">
      <x:c r="A199" s="8" t="s">
        <x:v>32</x:v>
      </x:c>
      <x:c r="B199" s="8" t="s">
        <x:v>222</x:v>
      </x:c>
      <x:c r="C199" s="12"/>
      <x:c r="D199" s="12"/>
      <x:c r="E199" s="20" t="n">
        <x:f>MAX(0,C199*1.15-D199)</x:f>
        <x:v>0</x:v>
      </x:c>
      <x:c r="F199" s="12"/>
      <x:c r="G199" s="11"/>
    </x:row>
    <x:row r="200" ht="15" customHeight="1">
      <x:c r="A200" s="8" t="s">
        <x:v>15</x:v>
      </x:c>
      <x:c r="B200" s="8" t="s">
        <x:v>223</x:v>
      </x:c>
      <x:c r="C200" s="12"/>
      <x:c r="D200" s="12"/>
      <x:c r="E200" s="20" t="n">
        <x:f>MAX(0,C200*1.15-D200)</x:f>
        <x:v>0</x:v>
      </x:c>
      <x:c r="F200" s="12"/>
      <x:c r="G200" s="11"/>
    </x:row>
    <x:row r="201" ht="15" customHeight="1">
      <x:c r="A201" s="8" t="s">
        <x:v>36</x:v>
      </x:c>
      <x:c r="B201" s="8" t="s">
        <x:v>224</x:v>
      </x:c>
      <x:c r="C201" s="12"/>
      <x:c r="D201" s="12"/>
      <x:c r="E201" s="20" t="n">
        <x:f>MAX(0,C201*1.15-D201)</x:f>
        <x:v>0</x:v>
      </x:c>
      <x:c r="F201" s="12"/>
      <x:c r="G201" s="11"/>
    </x:row>
    <x:row r="202" ht="15" customHeight="1">
      <x:c r="A202" s="8" t="s">
        <x:v>25</x:v>
      </x:c>
      <x:c r="B202" s="8" t="s">
        <x:v>225</x:v>
      </x:c>
      <x:c r="C202" s="12"/>
      <x:c r="D202" s="12"/>
      <x:c r="E202" s="20" t="n">
        <x:f>MAX(0,C202*1.15-D202)</x:f>
        <x:v>0</x:v>
      </x:c>
      <x:c r="F202" s="12"/>
      <x:c r="G202" s="11"/>
    </x:row>
    <x:row r="203" ht="15" customHeight="1">
      <x:c r="A203" s="8" t="s">
        <x:v>15</x:v>
      </x:c>
      <x:c r="B203" s="8" t="s">
        <x:v>226</x:v>
      </x:c>
      <x:c r="C203" s="12"/>
      <x:c r="D203" s="12"/>
      <x:c r="E203" s="20" t="n">
        <x:f>MAX(0,C203*1.15-D203)</x:f>
        <x:v>0</x:v>
      </x:c>
      <x:c r="F203" s="12"/>
      <x:c r="G203" s="11"/>
    </x:row>
    <x:row r="204" ht="15" customHeight="1">
      <x:c r="A204" s="8" t="s">
        <x:v>15</x:v>
      </x:c>
      <x:c r="B204" s="8" t="s">
        <x:v>227</x:v>
      </x:c>
      <x:c r="C204" s="12"/>
      <x:c r="D204" s="12"/>
      <x:c r="E204" s="20" t="n">
        <x:f>MAX(0,C204*1.15-D204)</x:f>
        <x:v>0</x:v>
      </x:c>
      <x:c r="F204" s="12"/>
      <x:c r="G204" s="11"/>
    </x:row>
    <x:row r="205" ht="15" customHeight="1">
      <x:c r="A205" s="8" t="s">
        <x:v>32</x:v>
      </x:c>
      <x:c r="B205" s="8" t="s">
        <x:v>228</x:v>
      </x:c>
      <x:c r="C205" s="12"/>
      <x:c r="D205" s="12"/>
      <x:c r="E205" s="20" t="n">
        <x:f>MAX(0,C205*1.15-D205)</x:f>
        <x:v>0</x:v>
      </x:c>
      <x:c r="F205" s="12"/>
      <x:c r="G205" s="11"/>
    </x:row>
    <x:row r="206" ht="15" customHeight="1">
      <x:c r="A206" s="8" t="s">
        <x:v>15</x:v>
      </x:c>
      <x:c r="B206" s="8" t="s">
        <x:v>229</x:v>
      </x:c>
      <x:c r="C206" s="12"/>
      <x:c r="D206" s="12"/>
      <x:c r="E206" s="20" t="n">
        <x:f>MAX(0,C206*1.15-D206)</x:f>
        <x:v>0</x:v>
      </x:c>
      <x:c r="F206" s="12"/>
      <x:c r="G206" s="11"/>
    </x:row>
    <x:row r="207" ht="15" customHeight="1">
      <x:c r="A207" s="8" t="s">
        <x:v>15</x:v>
      </x:c>
      <x:c r="B207" s="8" t="s">
        <x:v>230</x:v>
      </x:c>
      <x:c r="C207" s="12"/>
      <x:c r="D207" s="12"/>
      <x:c r="E207" s="20" t="n">
        <x:f>MAX(0,C207*1.15-D207)</x:f>
        <x:v>0</x:v>
      </x:c>
      <x:c r="F207" s="12"/>
      <x:c r="G207" s="11"/>
    </x:row>
    <x:row r="208" ht="15" customHeight="1">
      <x:c r="A208" s="8" t="s">
        <x:v>15</x:v>
      </x:c>
      <x:c r="B208" s="8" t="s">
        <x:v>231</x:v>
      </x:c>
      <x:c r="C208" s="12"/>
      <x:c r="D208" s="12"/>
      <x:c r="E208" s="20" t="n">
        <x:f>MAX(0,C208*1.15-D208)</x:f>
        <x:v>0</x:v>
      </x:c>
      <x:c r="F208" s="12"/>
      <x:c r="G208" s="11"/>
    </x:row>
    <x:row r="209" ht="15" customHeight="1">
      <x:c r="A209" s="8" t="s">
        <x:v>41</x:v>
      </x:c>
      <x:c r="B209" s="8" t="s">
        <x:v>232</x:v>
      </x:c>
      <x:c r="C209" s="12"/>
      <x:c r="D209" s="12"/>
      <x:c r="E209" s="20" t="n">
        <x:f>MAX(0,C209*1.15-D209)</x:f>
        <x:v>0</x:v>
      </x:c>
      <x:c r="F209" s="12"/>
      <x:c r="G209" s="11"/>
    </x:row>
    <x:row r="210" ht="15" customHeight="1">
      <x:c r="A210" s="8" t="s">
        <x:v>15</x:v>
      </x:c>
      <x:c r="B210" s="8" t="s">
        <x:v>233</x:v>
      </x:c>
      <x:c r="C210" s="12"/>
      <x:c r="D210" s="12"/>
      <x:c r="E210" s="20" t="n">
        <x:f>MAX(0,C210*1.15-D210)</x:f>
        <x:v>0</x:v>
      </x:c>
      <x:c r="F210" s="12"/>
      <x:c r="G210" s="11"/>
    </x:row>
    <x:row r="211" ht="15" customHeight="1">
      <x:c r="A211" s="8" t="s">
        <x:v>15</x:v>
      </x:c>
      <x:c r="B211" s="8" t="s">
        <x:v>234</x:v>
      </x:c>
      <x:c r="C211" s="12"/>
      <x:c r="D211" s="12"/>
      <x:c r="E211" s="20" t="n">
        <x:f>MAX(0,C211*1.15-D211)</x:f>
        <x:v>0</x:v>
      </x:c>
      <x:c r="F211" s="12"/>
      <x:c r="G211" s="11"/>
    </x:row>
    <x:row r="212" ht="15" customHeight="1">
      <x:c r="A212" s="8" t="s">
        <x:v>34</x:v>
      </x:c>
      <x:c r="B212" s="8" t="s">
        <x:v>235</x:v>
      </x:c>
      <x:c r="C212" s="12"/>
      <x:c r="D212" s="12"/>
      <x:c r="E212" s="20" t="n">
        <x:f>MAX(0,C212*1.15-D212)</x:f>
        <x:v>0</x:v>
      </x:c>
      <x:c r="F212" s="12"/>
      <x:c r="G212" s="11"/>
    </x:row>
    <x:row r="213" ht="15" customHeight="1">
      <x:c r="A213" s="8" t="s">
        <x:v>41</x:v>
      </x:c>
      <x:c r="B213" s="8" t="s">
        <x:v>236</x:v>
      </x:c>
      <x:c r="C213" s="12"/>
      <x:c r="D213" s="12"/>
      <x:c r="E213" s="20" t="n">
        <x:f>MAX(0,C213*1.15-D213)</x:f>
        <x:v>0</x:v>
      </x:c>
      <x:c r="F213" s="12"/>
      <x:c r="G213" s="11"/>
    </x:row>
    <x:row r="214" ht="15" customHeight="1">
      <x:c r="A214" s="8" t="s">
        <x:v>15</x:v>
      </x:c>
      <x:c r="B214" s="8" t="s">
        <x:v>237</x:v>
      </x:c>
      <x:c r="C214" s="12"/>
      <x:c r="D214" s="12"/>
      <x:c r="E214" s="20" t="n">
        <x:f>MAX(0,C214*1.15-D214)</x:f>
        <x:v>0</x:v>
      </x:c>
      <x:c r="F214" s="12"/>
      <x:c r="G214" s="11"/>
    </x:row>
    <x:row r="215" ht="15" customHeight="1">
      <x:c r="A215" s="8" t="s">
        <x:v>15</x:v>
      </x:c>
      <x:c r="B215" s="8" t="s">
        <x:v>238</x:v>
      </x:c>
      <x:c r="C215" s="12"/>
      <x:c r="D215" s="12"/>
      <x:c r="E215" s="20" t="n">
        <x:f>MAX(0,C215*1.15-D215)</x:f>
        <x:v>0</x:v>
      </x:c>
      <x:c r="F215" s="12"/>
      <x:c r="G215" s="11"/>
    </x:row>
    <x:row r="216" ht="15" customHeight="1">
      <x:c r="A216" s="8" t="s">
        <x:v>15</x:v>
      </x:c>
      <x:c r="B216" s="8" t="s">
        <x:v>239</x:v>
      </x:c>
      <x:c r="C216" s="12"/>
      <x:c r="D216" s="12"/>
      <x:c r="E216" s="20" t="n">
        <x:f>MAX(0,C216*1.15-D216)</x:f>
        <x:v>0</x:v>
      </x:c>
      <x:c r="F216" s="12"/>
      <x:c r="G216" s="11"/>
    </x:row>
    <x:row r="217" ht="15" customHeight="1">
      <x:c r="A217" s="8" t="s">
        <x:v>15</x:v>
      </x:c>
      <x:c r="B217" s="8" t="s">
        <x:v>240</x:v>
      </x:c>
      <x:c r="C217" s="12"/>
      <x:c r="D217" s="12"/>
      <x:c r="E217" s="20" t="n">
        <x:f>MAX(0,C217*1.15-D217)</x:f>
        <x:v>0</x:v>
      </x:c>
      <x:c r="F217" s="12"/>
      <x:c r="G217" s="11"/>
    </x:row>
    <x:row r="218" ht="15" customHeight="1">
      <x:c r="A218" s="8" t="s">
        <x:v>15</x:v>
      </x:c>
      <x:c r="B218" s="8" t="s">
        <x:v>241</x:v>
      </x:c>
      <x:c r="C218" s="12"/>
      <x:c r="D218" s="12"/>
      <x:c r="E218" s="20" t="n">
        <x:f>MAX(0,C218*1.15-D218)</x:f>
        <x:v>0</x:v>
      </x:c>
      <x:c r="F218" s="12"/>
      <x:c r="G218" s="11"/>
    </x:row>
    <x:row r="219" ht="15" customHeight="1">
      <x:c r="A219" s="8" t="s">
        <x:v>15</x:v>
      </x:c>
      <x:c r="B219" s="8" t="s">
        <x:v>242</x:v>
      </x:c>
      <x:c r="C219" s="12"/>
      <x:c r="D219" s="12"/>
      <x:c r="E219" s="20" t="n">
        <x:f>MAX(0,C219*1.15-D219)</x:f>
        <x:v>0</x:v>
      </x:c>
      <x:c r="F219" s="12"/>
      <x:c r="G219" s="11"/>
    </x:row>
    <x:row r="220" ht="15" customHeight="1">
      <x:c r="A220" s="8" t="s">
        <x:v>34</x:v>
      </x:c>
      <x:c r="B220" s="8" t="s">
        <x:v>243</x:v>
      </x:c>
      <x:c r="C220" s="12"/>
      <x:c r="D220" s="12"/>
      <x:c r="E220" s="20" t="n">
        <x:f>MAX(0,C220*1.15-D220)</x:f>
        <x:v>0</x:v>
      </x:c>
      <x:c r="F220" s="12"/>
      <x:c r="G220" s="11"/>
    </x:row>
    <x:row r="221" ht="15" customHeight="1">
      <x:c r="A221" s="8" t="s">
        <x:v>15</x:v>
      </x:c>
      <x:c r="B221" s="8" t="s">
        <x:v>244</x:v>
      </x:c>
      <x:c r="C221" s="12"/>
      <x:c r="D221" s="12"/>
      <x:c r="E221" s="20" t="n">
        <x:f>MAX(0,C221*1.15-D221)</x:f>
        <x:v>0</x:v>
      </x:c>
      <x:c r="F221" s="12"/>
      <x:c r="G221" s="11"/>
    </x:row>
    <x:row r="222" ht="15" customHeight="1">
      <x:c r="A222" s="8" t="s">
        <x:v>32</x:v>
      </x:c>
      <x:c r="B222" s="8" t="s">
        <x:v>245</x:v>
      </x:c>
      <x:c r="C222" s="12"/>
      <x:c r="D222" s="12"/>
      <x:c r="E222" s="20" t="n">
        <x:f>MAX(0,C222*1.15-D222)</x:f>
        <x:v>0</x:v>
      </x:c>
      <x:c r="F222" s="12"/>
      <x:c r="G222" s="11"/>
    </x:row>
    <x:row r="223" ht="15" customHeight="1">
      <x:c r="A223" s="8" t="s">
        <x:v>32</x:v>
      </x:c>
      <x:c r="B223" s="8" t="s">
        <x:v>246</x:v>
      </x:c>
      <x:c r="C223" s="12"/>
      <x:c r="D223" s="12"/>
      <x:c r="E223" s="20" t="n">
        <x:f>MAX(0,C223*1.15-D223)</x:f>
        <x:v>0</x:v>
      </x:c>
      <x:c r="F223" s="12"/>
      <x:c r="G223" s="11"/>
    </x:row>
    <x:row r="224" ht="15" customHeight="1">
      <x:c r="A224" s="8" t="s">
        <x:v>15</x:v>
      </x:c>
      <x:c r="B224" s="8" t="s">
        <x:v>247</x:v>
      </x:c>
      <x:c r="C224" s="12"/>
      <x:c r="D224" s="12"/>
      <x:c r="E224" s="20" t="n">
        <x:f>MAX(0,C224*1.15-D224)</x:f>
        <x:v>0</x:v>
      </x:c>
      <x:c r="F224" s="12"/>
      <x:c r="G224" s="11"/>
    </x:row>
    <x:row r="225" ht="15" customHeight="1">
      <x:c r="A225" s="8" t="s">
        <x:v>15</x:v>
      </x:c>
      <x:c r="B225" s="8" t="s">
        <x:v>248</x:v>
      </x:c>
      <x:c r="C225" s="12"/>
      <x:c r="D225" s="12"/>
      <x:c r="E225" s="20" t="n">
        <x:f>MAX(0,C225*1.15-D225)</x:f>
        <x:v>0</x:v>
      </x:c>
      <x:c r="F225" s="12"/>
      <x:c r="G225" s="11"/>
    </x:row>
    <x:row r="226" ht="15" customHeight="1">
      <x:c r="A226" s="8" t="s">
        <x:v>15</x:v>
      </x:c>
      <x:c r="B226" s="8" t="s">
        <x:v>249</x:v>
      </x:c>
      <x:c r="C226" s="12"/>
      <x:c r="D226" s="12"/>
      <x:c r="E226" s="20" t="n">
        <x:f>MAX(0,C226*1.15-D226)</x:f>
        <x:v>0</x:v>
      </x:c>
      <x:c r="F226" s="12"/>
      <x:c r="G226" s="11"/>
    </x:row>
    <x:row r="227" ht="15" customHeight="1">
      <x:c r="A227" s="8" t="s">
        <x:v>15</x:v>
      </x:c>
      <x:c r="B227" s="8" t="s">
        <x:v>250</x:v>
      </x:c>
      <x:c r="C227" s="12"/>
      <x:c r="D227" s="12"/>
      <x:c r="E227" s="20" t="n">
        <x:f>MAX(0,C227*1.15-D227)</x:f>
        <x:v>0</x:v>
      </x:c>
      <x:c r="F227" s="12"/>
      <x:c r="G227" s="11"/>
    </x:row>
    <x:row r="228" ht="15" customHeight="1">
      <x:c r="A228" s="8" t="s">
        <x:v>15</x:v>
      </x:c>
      <x:c r="B228" s="8" t="s">
        <x:v>251</x:v>
      </x:c>
      <x:c r="C228" s="12"/>
      <x:c r="D228" s="12"/>
      <x:c r="E228" s="20" t="n">
        <x:f>MAX(0,C228*1.15-D228)</x:f>
        <x:v>0</x:v>
      </x:c>
      <x:c r="F228" s="12"/>
      <x:c r="G228" s="11"/>
    </x:row>
    <x:row r="229" ht="15" customHeight="1">
      <x:c r="A229" s="8" t="s">
        <x:v>32</x:v>
      </x:c>
      <x:c r="B229" s="8" t="s">
        <x:v>252</x:v>
      </x:c>
      <x:c r="C229" s="12"/>
      <x:c r="D229" s="12"/>
      <x:c r="E229" s="20" t="n">
        <x:f>MAX(0,C229*1.15-D229)</x:f>
        <x:v>0</x:v>
      </x:c>
      <x:c r="F229" s="12"/>
      <x:c r="G229" s="11"/>
    </x:row>
    <x:row r="230" ht="15" customHeight="1">
      <x:c r="A230" s="8" t="s">
        <x:v>15</x:v>
      </x:c>
      <x:c r="B230" s="8" t="s">
        <x:v>253</x:v>
      </x:c>
      <x:c r="C230" s="12"/>
      <x:c r="D230" s="12"/>
      <x:c r="E230" s="20" t="n">
        <x:f>MAX(0,C230*1.15-D230)</x:f>
        <x:v>0</x:v>
      </x:c>
      <x:c r="F230" s="12"/>
      <x:c r="G230" s="11"/>
    </x:row>
    <x:row r="231" ht="15" customHeight="1">
      <x:c r="A231" s="8" t="s">
        <x:v>32</x:v>
      </x:c>
      <x:c r="B231" s="8" t="s">
        <x:v>254</x:v>
      </x:c>
      <x:c r="C231" s="12"/>
      <x:c r="D231" s="12"/>
      <x:c r="E231" s="20" t="n">
        <x:f>MAX(0,C231*1.15-D231)</x:f>
        <x:v>0</x:v>
      </x:c>
      <x:c r="F231" s="12"/>
      <x:c r="G231" s="11"/>
    </x:row>
    <x:row r="232" ht="15" customHeight="1">
      <x:c r="A232" s="8" t="s">
        <x:v>18</x:v>
      </x:c>
      <x:c r="B232" s="8" t="s">
        <x:v>255</x:v>
      </x:c>
      <x:c r="C232" s="12"/>
      <x:c r="D232" s="12"/>
      <x:c r="E232" s="20" t="n">
        <x:f>MAX(0,C232*1.15-D232)</x:f>
        <x:v>0</x:v>
      </x:c>
      <x:c r="F232" s="12"/>
      <x:c r="G232" s="11"/>
    </x:row>
    <x:row r="233" ht="15" customHeight="1">
      <x:c r="A233" s="8" t="s">
        <x:v>36</x:v>
      </x:c>
      <x:c r="B233" s="8" t="s">
        <x:v>256</x:v>
      </x:c>
      <x:c r="C233" s="12"/>
      <x:c r="D233" s="12"/>
      <x:c r="E233" s="20" t="n">
        <x:f>MAX(0,C233*1.15-D233)</x:f>
        <x:v>0</x:v>
      </x:c>
      <x:c r="F233" s="12"/>
      <x:c r="G233" s="11"/>
    </x:row>
    <x:row r="234" ht="15" customHeight="1">
      <x:c r="A234" s="8" t="s">
        <x:v>15</x:v>
      </x:c>
      <x:c r="B234" s="8" t="s">
        <x:v>257</x:v>
      </x:c>
      <x:c r="C234" s="12"/>
      <x:c r="D234" s="12"/>
      <x:c r="E234" s="20" t="n">
        <x:f>MAX(0,C234*1.15-D234)</x:f>
        <x:v>0</x:v>
      </x:c>
      <x:c r="F234" s="12"/>
      <x:c r="G234" s="11"/>
    </x:row>
    <x:row r="235" ht="15" customHeight="1">
      <x:c r="A235" s="8" t="s">
        <x:v>36</x:v>
      </x:c>
      <x:c r="B235" s="8" t="s">
        <x:v>258</x:v>
      </x:c>
      <x:c r="C235" s="12"/>
      <x:c r="D235" s="12"/>
      <x:c r="E235" s="20" t="n">
        <x:f>MAX(0,C235*1.15-D235)</x:f>
        <x:v>0</x:v>
      </x:c>
      <x:c r="F235" s="12"/>
      <x:c r="G235" s="11"/>
    </x:row>
    <x:row r="236" ht="15" customHeight="1">
      <x:c r="A236" s="8" t="s">
        <x:v>36</x:v>
      </x:c>
      <x:c r="B236" s="8" t="s">
        <x:v>259</x:v>
      </x:c>
      <x:c r="C236" s="12"/>
      <x:c r="D236" s="12"/>
      <x:c r="E236" s="20" t="n">
        <x:f>MAX(0,C236*1.15-D236)</x:f>
        <x:v>0</x:v>
      </x:c>
      <x:c r="F236" s="12"/>
      <x:c r="G236" s="11"/>
    </x:row>
    <x:row r="237" ht="15" customHeight="1">
      <x:c r="A237" s="8" t="s">
        <x:v>36</x:v>
      </x:c>
      <x:c r="B237" s="8" t="s">
        <x:v>260</x:v>
      </x:c>
      <x:c r="C237" s="12"/>
      <x:c r="D237" s="12"/>
      <x:c r="E237" s="20" t="n">
        <x:f>MAX(0,C237*1.15-D237)</x:f>
        <x:v>0</x:v>
      </x:c>
      <x:c r="F237" s="12"/>
      <x:c r="G237" s="11"/>
    </x:row>
    <x:row r="238" ht="15" customHeight="1">
      <x:c r="A238" s="8" t="s">
        <x:v>15</x:v>
      </x:c>
      <x:c r="B238" s="8" t="s">
        <x:v>261</x:v>
      </x:c>
      <x:c r="C238" s="12"/>
      <x:c r="D238" s="12"/>
      <x:c r="E238" s="20" t="n">
        <x:f>MAX(0,C238*1.15-D238)</x:f>
        <x:v>0</x:v>
      </x:c>
      <x:c r="F238" s="12"/>
      <x:c r="G238" s="11"/>
    </x:row>
    <x:row r="239" ht="15" customHeight="1">
      <x:c r="A239" s="8" t="s">
        <x:v>15</x:v>
      </x:c>
      <x:c r="B239" s="8" t="s">
        <x:v>262</x:v>
      </x:c>
      <x:c r="C239" s="12"/>
      <x:c r="D239" s="12"/>
      <x:c r="E239" s="20" t="n">
        <x:f>MAX(0,C239*1.15-D239)</x:f>
        <x:v>0</x:v>
      </x:c>
      <x:c r="F239" s="12"/>
      <x:c r="G239" s="11"/>
    </x:row>
    <x:row r="240" ht="15" customHeight="1">
      <x:c r="A240" s="8" t="s">
        <x:v>36</x:v>
      </x:c>
      <x:c r="B240" s="8" t="s">
        <x:v>263</x:v>
      </x:c>
      <x:c r="C240" s="12"/>
      <x:c r="D240" s="12"/>
      <x:c r="E240" s="20" t="n">
        <x:f>MAX(0,C240*1.15-D240)</x:f>
        <x:v>0</x:v>
      </x:c>
      <x:c r="F240" s="12"/>
      <x:c r="G240" s="11"/>
    </x:row>
    <x:row r="241" ht="15" customHeight="1">
      <x:c r="A241" s="8" t="s">
        <x:v>15</x:v>
      </x:c>
      <x:c r="B241" s="8" t="s">
        <x:v>264</x:v>
      </x:c>
      <x:c r="C241" s="12"/>
      <x:c r="D241" s="12"/>
      <x:c r="E241" s="20" t="n">
        <x:f>MAX(0,C241*1.15-D241)</x:f>
        <x:v>0</x:v>
      </x:c>
      <x:c r="F241" s="12"/>
      <x:c r="G241" s="11"/>
    </x:row>
    <x:row r="242" ht="15" customHeight="1">
      <x:c r="A242" s="8" t="s">
        <x:v>15</x:v>
      </x:c>
      <x:c r="B242" s="8" t="s">
        <x:v>265</x:v>
      </x:c>
      <x:c r="C242" s="12"/>
      <x:c r="D242" s="12"/>
      <x:c r="E242" s="20" t="n">
        <x:f>MAX(0,C242*1.15-D242)</x:f>
        <x:v>0</x:v>
      </x:c>
      <x:c r="F242" s="12"/>
      <x:c r="G242" s="11"/>
    </x:row>
    <x:row r="243" ht="15" customHeight="1">
      <x:c r="A243" s="8" t="s">
        <x:v>15</x:v>
      </x:c>
      <x:c r="B243" s="8" t="s">
        <x:v>266</x:v>
      </x:c>
      <x:c r="C243" s="12"/>
      <x:c r="D243" s="12"/>
      <x:c r="E243" s="20" t="n">
        <x:f>MAX(0,C243*1.15-D243)</x:f>
        <x:v>0</x:v>
      </x:c>
      <x:c r="F243" s="12"/>
      <x:c r="G243" s="11"/>
    </x:row>
    <x:row r="244" ht="15" customHeight="1">
      <x:c r="A244" s="8" t="s">
        <x:v>15</x:v>
      </x:c>
      <x:c r="B244" s="8" t="s">
        <x:v>267</x:v>
      </x:c>
      <x:c r="C244" s="12"/>
      <x:c r="D244" s="12"/>
      <x:c r="E244" s="20" t="n">
        <x:f>MAX(0,C244*1.15-D244)</x:f>
        <x:v>0</x:v>
      </x:c>
      <x:c r="F244" s="12"/>
      <x:c r="G244" s="11"/>
    </x:row>
    <x:row r="245" ht="15" customHeight="1">
      <x:c r="A245" s="8" t="s">
        <x:v>34</x:v>
      </x:c>
      <x:c r="B245" s="8" t="s">
        <x:v>268</x:v>
      </x:c>
      <x:c r="C245" s="12"/>
      <x:c r="D245" s="12"/>
      <x:c r="E245" s="20" t="n">
        <x:f>MAX(0,C245*1.15-D245)</x:f>
        <x:v>0</x:v>
      </x:c>
      <x:c r="F245" s="12"/>
      <x:c r="G245" s="11"/>
    </x:row>
    <x:row r="246" ht="15" customHeight="1">
      <x:c r="A246" s="8" t="s">
        <x:v>34</x:v>
      </x:c>
      <x:c r="B246" s="8" t="s">
        <x:v>269</x:v>
      </x:c>
      <x:c r="C246" s="12"/>
      <x:c r="D246" s="12"/>
      <x:c r="E246" s="20" t="n">
        <x:f>MAX(0,C246*1.15-D246)</x:f>
        <x:v>0</x:v>
      </x:c>
      <x:c r="F246" s="12"/>
      <x:c r="G246" s="11"/>
    </x:row>
    <x:row r="247" ht="15" customHeight="1">
      <x:c r="A247" s="8" t="s">
        <x:v>36</x:v>
      </x:c>
      <x:c r="B247" s="8" t="s">
        <x:v>270</x:v>
      </x:c>
      <x:c r="C247" s="12"/>
      <x:c r="D247" s="12"/>
      <x:c r="E247" s="20" t="n">
        <x:f>MAX(0,C247*1.15-D247)</x:f>
        <x:v>0</x:v>
      </x:c>
      <x:c r="F247" s="12"/>
      <x:c r="G247" s="11"/>
    </x:row>
    <x:row r="248" ht="15" customHeight="1">
      <x:c r="A248" s="8" t="s">
        <x:v>32</x:v>
      </x:c>
      <x:c r="B248" s="8" t="s">
        <x:v>271</x:v>
      </x:c>
      <x:c r="C248" s="12"/>
      <x:c r="D248" s="12"/>
      <x:c r="E248" s="20" t="n">
        <x:f>MAX(0,C248*1.15-D248)</x:f>
        <x:v>0</x:v>
      </x:c>
      <x:c r="F248" s="12"/>
      <x:c r="G248" s="11"/>
    </x:row>
    <x:row r="249" ht="15" customHeight="1">
      <x:c r="A249" s="8" t="s">
        <x:v>36</x:v>
      </x:c>
      <x:c r="B249" s="8" t="s">
        <x:v>272</x:v>
      </x:c>
      <x:c r="C249" s="12"/>
      <x:c r="D249" s="12"/>
      <x:c r="E249" s="20" t="n">
        <x:f>MAX(0,C249*1.15-D249)</x:f>
        <x:v>0</x:v>
      </x:c>
      <x:c r="F249" s="12"/>
      <x:c r="G249" s="11"/>
    </x:row>
    <x:row r="250" ht="15" customHeight="1">
      <x:c r="A250" s="8" t="s">
        <x:v>36</x:v>
      </x:c>
      <x:c r="B250" s="8" t="s">
        <x:v>273</x:v>
      </x:c>
      <x:c r="C250" s="12"/>
      <x:c r="D250" s="12"/>
      <x:c r="E250" s="20" t="n">
        <x:f>MAX(0,C250*1.15-D250)</x:f>
        <x:v>0</x:v>
      </x:c>
      <x:c r="F250" s="12"/>
      <x:c r="G250" s="11"/>
    </x:row>
    <x:row r="251" ht="15" customHeight="1">
      <x:c r="A251" s="8" t="s">
        <x:v>34</x:v>
      </x:c>
      <x:c r="B251" s="8" t="s">
        <x:v>274</x:v>
      </x:c>
      <x:c r="C251" s="12"/>
      <x:c r="D251" s="12"/>
      <x:c r="E251" s="20" t="n">
        <x:f>MAX(0,C251*1.15-D251)</x:f>
        <x:v>0</x:v>
      </x:c>
      <x:c r="F251" s="12"/>
      <x:c r="G251" s="11"/>
    </x:row>
    <x:row r="252" ht="15" customHeight="1">
      <x:c r="A252" s="8" t="s">
        <x:v>34</x:v>
      </x:c>
      <x:c r="B252" s="8" t="s">
        <x:v>275</x:v>
      </x:c>
      <x:c r="C252" s="12"/>
      <x:c r="D252" s="12"/>
      <x:c r="E252" s="20" t="n">
        <x:f>MAX(0,C252*1.15-D252)</x:f>
        <x:v>0</x:v>
      </x:c>
      <x:c r="F252" s="12"/>
      <x:c r="G252" s="11"/>
    </x:row>
    <x:row r="253" ht="15" customHeight="1">
      <x:c r="A253" s="8" t="s">
        <x:v>34</x:v>
      </x:c>
      <x:c r="B253" s="8" t="s">
        <x:v>276</x:v>
      </x:c>
      <x:c r="C253" s="12"/>
      <x:c r="D253" s="12"/>
      <x:c r="E253" s="20" t="n">
        <x:f>MAX(0,C253*1.15-D253)</x:f>
        <x:v>0</x:v>
      </x:c>
      <x:c r="F253" s="12"/>
      <x:c r="G253" s="11"/>
    </x:row>
    <x:row r="254" ht="15" customHeight="1">
      <x:c r="A254" s="8" t="s">
        <x:v>36</x:v>
      </x:c>
      <x:c r="B254" s="8" t="s">
        <x:v>277</x:v>
      </x:c>
      <x:c r="C254" s="12"/>
      <x:c r="D254" s="12"/>
      <x:c r="E254" s="20" t="n">
        <x:f>MAX(0,C254*1.15-D254)</x:f>
        <x:v>0</x:v>
      </x:c>
      <x:c r="F254" s="12"/>
      <x:c r="G254" s="11"/>
    </x:row>
    <x:row r="255" ht="15" customHeight="1">
      <x:c r="A255" s="8" t="s">
        <x:v>15</x:v>
      </x:c>
      <x:c r="B255" s="8" t="s">
        <x:v>278</x:v>
      </x:c>
      <x:c r="C255" s="12"/>
      <x:c r="D255" s="12"/>
      <x:c r="E255" s="20" t="n">
        <x:f>MAX(0,C255*1.15-D255)</x:f>
        <x:v>0</x:v>
      </x:c>
      <x:c r="F255" s="12"/>
      <x:c r="G255" s="11"/>
    </x:row>
    <x:row r="256" ht="15" customHeight="1">
      <x:c r="A256" s="8" t="s">
        <x:v>15</x:v>
      </x:c>
      <x:c r="B256" s="8" t="s">
        <x:v>279</x:v>
      </x:c>
      <x:c r="C256" s="12"/>
      <x:c r="D256" s="12"/>
      <x:c r="E256" s="20" t="n">
        <x:f>MAX(0,C256*1.15-D256)</x:f>
        <x:v>0</x:v>
      </x:c>
      <x:c r="F256" s="12"/>
      <x:c r="G256" s="11"/>
    </x:row>
    <x:row r="257" ht="15" customHeight="1">
      <x:c r="A257" s="8" t="s">
        <x:v>36</x:v>
      </x:c>
      <x:c r="B257" s="8" t="s">
        <x:v>280</x:v>
      </x:c>
      <x:c r="C257" s="12"/>
      <x:c r="D257" s="12"/>
      <x:c r="E257" s="20" t="n">
        <x:f>MAX(0,C257*1.15-D257)</x:f>
        <x:v>0</x:v>
      </x:c>
      <x:c r="F257" s="12"/>
      <x:c r="G257" s="11"/>
    </x:row>
    <x:row r="258" ht="15" customHeight="1">
      <x:c r="A258" s="8" t="s">
        <x:v>15</x:v>
      </x:c>
      <x:c r="B258" s="8" t="s">
        <x:v>281</x:v>
      </x:c>
      <x:c r="C258" s="12"/>
      <x:c r="D258" s="12"/>
      <x:c r="E258" s="20" t="n">
        <x:f>MAX(0,C258*1.15-D258)</x:f>
        <x:v>0</x:v>
      </x:c>
      <x:c r="F258" s="12"/>
      <x:c r="G258" s="11"/>
    </x:row>
    <x:row r="259" ht="15" customHeight="1">
      <x:c r="A259" s="8" t="s">
        <x:v>32</x:v>
      </x:c>
      <x:c r="B259" s="8" t="s">
        <x:v>282</x:v>
      </x:c>
      <x:c r="C259" s="12"/>
      <x:c r="D259" s="12"/>
      <x:c r="E259" s="20" t="n">
        <x:f>MAX(0,C259*1.15-D259)</x:f>
        <x:v>0</x:v>
      </x:c>
      <x:c r="F259" s="12"/>
      <x:c r="G259" s="11"/>
    </x:row>
    <x:row r="260" ht="15" customHeight="1">
      <x:c r="A260" s="8" t="s">
        <x:v>15</x:v>
      </x:c>
      <x:c r="B260" s="8" t="s">
        <x:v>283</x:v>
      </x:c>
      <x:c r="C260" s="12"/>
      <x:c r="D260" s="12"/>
      <x:c r="E260" s="20" t="n">
        <x:f>MAX(0,C260*1.15-D260)</x:f>
        <x:v>0</x:v>
      </x:c>
      <x:c r="F260" s="12"/>
      <x:c r="G260" s="11"/>
    </x:row>
    <x:row r="261" ht="15" customHeight="1">
      <x:c r="A261" s="8" t="s">
        <x:v>15</x:v>
      </x:c>
      <x:c r="B261" s="8" t="s">
        <x:v>284</x:v>
      </x:c>
      <x:c r="C261" s="12"/>
      <x:c r="D261" s="12"/>
      <x:c r="E261" s="20" t="n">
        <x:f>MAX(0,C261*1.15-D261)</x:f>
        <x:v>0</x:v>
      </x:c>
      <x:c r="F261" s="12"/>
      <x:c r="G261" s="11"/>
    </x:row>
    <x:row r="262" ht="15" customHeight="1">
      <x:c r="A262" s="8" t="s">
        <x:v>32</x:v>
      </x:c>
      <x:c r="B262" s="8" t="s">
        <x:v>285</x:v>
      </x:c>
      <x:c r="C262" s="12"/>
      <x:c r="D262" s="12"/>
      <x:c r="E262" s="20" t="n">
        <x:f>MAX(0,C262*1.15-D262)</x:f>
        <x:v>0</x:v>
      </x:c>
      <x:c r="F262" s="12"/>
      <x:c r="G262" s="11"/>
    </x:row>
    <x:row r="263" ht="15" customHeight="1">
      <x:c r="A263" s="8" t="s">
        <x:v>41</x:v>
      </x:c>
      <x:c r="B263" s="8" t="s">
        <x:v>286</x:v>
      </x:c>
      <x:c r="C263" s="12"/>
      <x:c r="D263" s="12"/>
      <x:c r="E263" s="20" t="n">
        <x:f>MAX(0,C263*1.15-D263)</x:f>
        <x:v>0</x:v>
      </x:c>
      <x:c r="F263" s="12"/>
      <x:c r="G263" s="11"/>
    </x:row>
    <x:row r="264" ht="15" customHeight="1">
      <x:c r="A264" s="8" t="s">
        <x:v>15</x:v>
      </x:c>
      <x:c r="B264" s="8" t="s">
        <x:v>287</x:v>
      </x:c>
      <x:c r="C264" s="12"/>
      <x:c r="D264" s="12"/>
      <x:c r="E264" s="20" t="n">
        <x:f>MAX(0,C264*1.15-D264)</x:f>
        <x:v>0</x:v>
      </x:c>
      <x:c r="F264" s="12"/>
      <x:c r="G264" s="11"/>
    </x:row>
    <x:row r="265" ht="15" customHeight="1">
      <x:c r="A265" s="8" t="s">
        <x:v>15</x:v>
      </x:c>
      <x:c r="B265" s="8" t="s">
        <x:v>288</x:v>
      </x:c>
      <x:c r="C265" s="12"/>
      <x:c r="D265" s="12"/>
      <x:c r="E265" s="20" t="n">
        <x:f>MAX(0,C265*1.15-D265)</x:f>
        <x:v>0</x:v>
      </x:c>
      <x:c r="F265" s="12"/>
      <x:c r="G265" s="11"/>
    </x:row>
    <x:row r="266" ht="15" customHeight="1">
      <x:c r="A266" s="8" t="s">
        <x:v>18</x:v>
      </x:c>
      <x:c r="B266" s="8" t="s">
        <x:v>289</x:v>
      </x:c>
      <x:c r="C266" s="12"/>
      <x:c r="D266" s="12"/>
      <x:c r="E266" s="20" t="n">
        <x:f>MAX(0,C266*1.15-D266)</x:f>
        <x:v>0</x:v>
      </x:c>
      <x:c r="F266" s="12"/>
      <x:c r="G266" s="11"/>
    </x:row>
    <x:row r="267" ht="15" customHeight="1">
      <x:c r="A267" s="8" t="s">
        <x:v>15</x:v>
      </x:c>
      <x:c r="B267" s="8" t="s">
        <x:v>290</x:v>
      </x:c>
      <x:c r="C267" s="12"/>
      <x:c r="D267" s="12"/>
      <x:c r="E267" s="20" t="n">
        <x:f>MAX(0,C267*1.15-D267)</x:f>
        <x:v>0</x:v>
      </x:c>
      <x:c r="F267" s="12"/>
      <x:c r="G267" s="11"/>
    </x:row>
    <x:row r="268" ht="15" customHeight="1">
      <x:c r="A268" s="8" t="s">
        <x:v>18</x:v>
      </x:c>
      <x:c r="B268" s="8" t="s">
        <x:v>291</x:v>
      </x:c>
      <x:c r="C268" s="12"/>
      <x:c r="D268" s="12"/>
      <x:c r="E268" s="20" t="n">
        <x:f>MAX(0,C268*1.15-D268)</x:f>
        <x:v>0</x:v>
      </x:c>
      <x:c r="F268" s="12"/>
      <x:c r="G268" s="11"/>
    </x:row>
    <x:row r="269" ht="15" customHeight="1">
      <x:c r="A269" s="8" t="s">
        <x:v>15</x:v>
      </x:c>
      <x:c r="B269" s="8" t="s">
        <x:v>292</x:v>
      </x:c>
      <x:c r="C269" s="12"/>
      <x:c r="D269" s="12"/>
      <x:c r="E269" s="20" t="n">
        <x:f>MAX(0,C269*1.15-D269)</x:f>
        <x:v>0</x:v>
      </x:c>
      <x:c r="F269" s="12"/>
      <x:c r="G269" s="11"/>
    </x:row>
    <x:row r="270" ht="15" customHeight="1">
      <x:c r="A270" s="8" t="s">
        <x:v>36</x:v>
      </x:c>
      <x:c r="B270" s="8" t="s">
        <x:v>293</x:v>
      </x:c>
      <x:c r="C270" s="12"/>
      <x:c r="D270" s="12"/>
      <x:c r="E270" s="20" t="n">
        <x:f>MAX(0,C270*1.15-D270)</x:f>
        <x:v>0</x:v>
      </x:c>
      <x:c r="F270" s="12"/>
      <x:c r="G270" s="11"/>
    </x:row>
    <x:row r="271" ht="15" customHeight="1">
      <x:c r="A271" s="8" t="s">
        <x:v>36</x:v>
      </x:c>
      <x:c r="B271" s="8" t="s">
        <x:v>294</x:v>
      </x:c>
      <x:c r="C271" s="12"/>
      <x:c r="D271" s="12"/>
      <x:c r="E271" s="20" t="n">
        <x:f>MAX(0,C271*1.15-D271)</x:f>
        <x:v>0</x:v>
      </x:c>
      <x:c r="F271" s="12"/>
      <x:c r="G271" s="11"/>
    </x:row>
    <x:row r="272" ht="15" customHeight="1">
      <x:c r="A272" s="8" t="s">
        <x:v>18</x:v>
      </x:c>
      <x:c r="B272" s="8" t="s">
        <x:v>295</x:v>
      </x:c>
      <x:c r="C272" s="12"/>
      <x:c r="D272" s="12"/>
      <x:c r="E272" s="20" t="n">
        <x:f>MAX(0,C272*1.15-D272)</x:f>
        <x:v>0</x:v>
      </x:c>
      <x:c r="F272" s="12"/>
      <x:c r="G272" s="11"/>
    </x:row>
    <x:row r="273" ht="15" customHeight="1">
      <x:c r="A273" s="8" t="s">
        <x:v>15</x:v>
      </x:c>
      <x:c r="B273" s="8" t="s">
        <x:v>296</x:v>
      </x:c>
      <x:c r="C273" s="12"/>
      <x:c r="D273" s="12"/>
      <x:c r="E273" s="20" t="n">
        <x:f>MAX(0,C273*1.15-D273)</x:f>
        <x:v>0</x:v>
      </x:c>
      <x:c r="F273" s="12"/>
      <x:c r="G273" s="11"/>
    </x:row>
    <x:row r="274" ht="15" customHeight="1">
      <x:c r="A274" s="8" t="s">
        <x:v>15</x:v>
      </x:c>
      <x:c r="B274" s="8" t="s">
        <x:v>297</x:v>
      </x:c>
      <x:c r="C274" s="12"/>
      <x:c r="D274" s="12"/>
      <x:c r="E274" s="20" t="n">
        <x:f>MAX(0,C274*1.15-D274)</x:f>
        <x:v>0</x:v>
      </x:c>
      <x:c r="F274" s="12"/>
      <x:c r="G274" s="11"/>
    </x:row>
    <x:row r="275" ht="15" customHeight="1">
      <x:c r="A275" s="8" t="s">
        <x:v>36</x:v>
      </x:c>
      <x:c r="B275" s="8" t="s">
        <x:v>298</x:v>
      </x:c>
      <x:c r="C275" s="12"/>
      <x:c r="D275" s="12"/>
      <x:c r="E275" s="20" t="n">
        <x:f>MAX(0,C275*1.15-D275)</x:f>
        <x:v>0</x:v>
      </x:c>
      <x:c r="F275" s="12"/>
      <x:c r="G275" s="11"/>
    </x:row>
    <x:row r="276" ht="15" customHeight="1">
      <x:c r="A276" s="8" t="s">
        <x:v>18</x:v>
      </x:c>
      <x:c r="B276" s="8" t="s">
        <x:v>299</x:v>
      </x:c>
      <x:c r="C276" s="12"/>
      <x:c r="D276" s="12"/>
      <x:c r="E276" s="20" t="n">
        <x:f>MAX(0,C276*1.15-D276)</x:f>
        <x:v>0</x:v>
      </x:c>
      <x:c r="F276" s="12"/>
      <x:c r="G276" s="11"/>
    </x:row>
    <x:row r="277" ht="15" customHeight="1">
      <x:c r="A277" s="8" t="s">
        <x:v>15</x:v>
      </x:c>
      <x:c r="B277" s="8" t="s">
        <x:v>300</x:v>
      </x:c>
      <x:c r="C277" s="12"/>
      <x:c r="D277" s="12"/>
      <x:c r="E277" s="20" t="n">
        <x:f>MAX(0,C277*1.15-D277)</x:f>
        <x:v>0</x:v>
      </x:c>
      <x:c r="F277" s="12"/>
      <x:c r="G277" s="11"/>
    </x:row>
    <x:row r="278" ht="15" customHeight="1">
      <x:c r="A278" s="8" t="s">
        <x:v>15</x:v>
      </x:c>
      <x:c r="B278" s="8" t="s">
        <x:v>301</x:v>
      </x:c>
      <x:c r="C278" s="12"/>
      <x:c r="D278" s="12"/>
      <x:c r="E278" s="20" t="n">
        <x:f>MAX(0,C278*1.15-D278)</x:f>
        <x:v>0</x:v>
      </x:c>
      <x:c r="F278" s="12"/>
      <x:c r="G278" s="11"/>
    </x:row>
    <x:row r="279" ht="15" customHeight="1">
      <x:c r="A279" s="8" t="s">
        <x:v>15</x:v>
      </x:c>
      <x:c r="B279" s="8" t="s">
        <x:v>302</x:v>
      </x:c>
      <x:c r="C279" s="12"/>
      <x:c r="D279" s="12"/>
      <x:c r="E279" s="20" t="n">
        <x:f>MAX(0,C279*1.15-D279)</x:f>
        <x:v>0</x:v>
      </x:c>
      <x:c r="F279" s="12"/>
      <x:c r="G279" s="11"/>
    </x:row>
    <x:row r="280" ht="15" customHeight="1">
      <x:c r="A280" s="8" t="s">
        <x:v>32</x:v>
      </x:c>
      <x:c r="B280" s="8" t="s">
        <x:v>303</x:v>
      </x:c>
      <x:c r="C280" s="12"/>
      <x:c r="D280" s="12"/>
      <x:c r="E280" s="20" t="n">
        <x:f>MAX(0,C280*1.15-D280)</x:f>
        <x:v>0</x:v>
      </x:c>
      <x:c r="F280" s="12"/>
      <x:c r="G280" s="11"/>
    </x:row>
    <x:row r="281" ht="15" customHeight="1">
      <x:c r="A281" s="8" t="s">
        <x:v>36</x:v>
      </x:c>
      <x:c r="B281" s="8" t="s">
        <x:v>304</x:v>
      </x:c>
      <x:c r="C281" s="12"/>
      <x:c r="D281" s="12"/>
      <x:c r="E281" s="20" t="n">
        <x:f>MAX(0,C281*1.15-D281)</x:f>
        <x:v>0</x:v>
      </x:c>
      <x:c r="F281" s="12"/>
      <x:c r="G281" s="11"/>
    </x:row>
    <x:row r="282" ht="15" customHeight="1">
      <x:c r="A282" s="8" t="s">
        <x:v>15</x:v>
      </x:c>
      <x:c r="B282" s="8" t="s">
        <x:v>305</x:v>
      </x:c>
      <x:c r="C282" s="12"/>
      <x:c r="D282" s="12"/>
      <x:c r="E282" s="20" t="n">
        <x:f>MAX(0,C282*1.15-D282)</x:f>
        <x:v>0</x:v>
      </x:c>
      <x:c r="F282" s="12"/>
      <x:c r="G282" s="11"/>
    </x:row>
    <x:row r="283" ht="15" customHeight="1">
      <x:c r="A283" s="8" t="s">
        <x:v>32</x:v>
      </x:c>
      <x:c r="B283" s="8" t="s">
        <x:v>306</x:v>
      </x:c>
      <x:c r="C283" s="12"/>
      <x:c r="D283" s="12"/>
      <x:c r="E283" s="20" t="n">
        <x:f>MAX(0,C283*1.15-D283)</x:f>
        <x:v>0</x:v>
      </x:c>
      <x:c r="F283" s="12"/>
      <x:c r="G283" s="11"/>
    </x:row>
    <x:row r="284" ht="15" customHeight="1">
      <x:c r="A284" s="8" t="s">
        <x:v>15</x:v>
      </x:c>
      <x:c r="B284" s="8" t="s">
        <x:v>307</x:v>
      </x:c>
      <x:c r="C284" s="12"/>
      <x:c r="D284" s="12"/>
      <x:c r="E284" s="20" t="n">
        <x:f>MAX(0,C284*1.15-D284)</x:f>
        <x:v>0</x:v>
      </x:c>
      <x:c r="F284" s="12"/>
      <x:c r="G284" s="11"/>
    </x:row>
    <x:row r="285" ht="15" customHeight="1">
      <x:c r="A285" s="8" t="s">
        <x:v>34</x:v>
      </x:c>
      <x:c r="B285" s="8" t="s">
        <x:v>308</x:v>
      </x:c>
      <x:c r="C285" s="12"/>
      <x:c r="D285" s="12"/>
      <x:c r="E285" s="20" t="n">
        <x:f>MAX(0,C285*1.15-D285)</x:f>
        <x:v>0</x:v>
      </x:c>
      <x:c r="F285" s="12"/>
      <x:c r="G285" s="11"/>
    </x:row>
    <x:row r="286" ht="15" customHeight="1">
      <x:c r="A286" s="8" t="s">
        <x:v>34</x:v>
      </x:c>
      <x:c r="B286" s="8" t="s">
        <x:v>309</x:v>
      </x:c>
      <x:c r="C286" s="12"/>
      <x:c r="D286" s="12"/>
      <x:c r="E286" s="20" t="n">
        <x:f>MAX(0,C286*1.15-D286)</x:f>
        <x:v>0</x:v>
      </x:c>
      <x:c r="F286" s="12"/>
      <x:c r="G286" s="11"/>
    </x:row>
    <x:row r="287" ht="15" customHeight="1">
      <x:c r="A287" s="17"/>
      <x:c r="B287" s="18"/>
      <x:c r="C287" s="12"/>
      <x:c r="D287" s="12"/>
      <x:c r="E287" s="20" t="n">
        <x:f>MAX(0,C287*1.15-D287)</x:f>
        <x:v>0</x:v>
      </x:c>
      <x:c r="F287" s="12"/>
      <x:c r="G287" s="11"/>
    </x:row>
    <x:row r="288" ht="15" customHeight="1">
      <x:c r="A288" s="17"/>
      <x:c r="B288" s="18"/>
      <x:c r="C288" s="12"/>
      <x:c r="D288" s="12"/>
      <x:c r="E288" s="20" t="n">
        <x:f>MAX(0,C288*1.15-D288)</x:f>
        <x:v>0</x:v>
      </x:c>
      <x:c r="F288" s="12"/>
      <x:c r="G288" s="11"/>
    </x:row>
    <x:row r="289" ht="15" customHeight="1">
      <x:c r="A289" s="17"/>
      <x:c r="B289" s="18"/>
      <x:c r="C289" s="12"/>
      <x:c r="D289" s="12"/>
      <x:c r="E289" s="20" t="n">
        <x:f>MAX(0,C289*1.15-D289)</x:f>
        <x:v>0</x:v>
      </x:c>
      <x:c r="F289" s="12"/>
      <x:c r="G289" s="11"/>
    </x:row>
    <x:row r="290" ht="15" customHeight="1">
      <x:c r="A290" s="17"/>
      <x:c r="B290" s="18"/>
      <x:c r="C290" s="12"/>
      <x:c r="D290" s="12"/>
      <x:c r="E290" s="20" t="n">
        <x:f>MAX(0,C290*1.15-D290)</x:f>
        <x:v>0</x:v>
      </x:c>
      <x:c r="F290" s="12"/>
      <x:c r="G290" s="11"/>
    </x:row>
    <x:row r="291" ht="15" customHeight="1">
      <x:c r="A291" s="17"/>
      <x:c r="B291" s="18"/>
      <x:c r="C291" s="12"/>
      <x:c r="D291" s="12"/>
      <x:c r="E291" s="20" t="n">
        <x:f>MAX(0,C291*1.15-D291)</x:f>
        <x:v>0</x:v>
      </x:c>
      <x:c r="F291" s="12"/>
      <x:c r="G291" s="11"/>
    </x:row>
  </x:sheetData>
  <x:mergeCells>
    <x:mergeCell ref="A1:A4"/>
    <x:mergeCell ref="B2:D3"/>
    <x:mergeCell ref="F2:G2"/>
    <x:mergeCell ref="F3:G3"/>
  </x:mergeCells>
  <x:conditionalFormatting sqref="E6:E291">
    <x:cfRule type="cellIs" dxfId="4" priority="1" operator="lessThan">
      <x:formula>0</x:formula>
    </x:cfRule>
  </x:conditionalFormatting>
  <x:dataValidations count="3">
    <x:dataValidation type="list" allowBlank="1" showInputMessage="1" showErrorMessage="1" error="¡¡¡¡¡¡¡¡  HERRORRR   SOLO_x000a_ DATOS DE LA LISTA !!!!!!" prompt="¡¡.....  INGRESE _x000a_DATOS_x000a_DE LA LISTA ...!!" sqref="F2:G2">
      <x:formula1>$J$1:$J$11</x:formula1>
    </x:dataValidation>
    <x:dataValidation type="date" operator="greaterThanOrEqual" allowBlank="1" showInputMessage="1" showErrorMessage="1" error="Fecha mal _x000a_ingresada_x000a_(00-00-2024)" sqref="F3:G3">
      <x:formula1>45352</x:formula1>
    </x:dataValidation>
    <x:dataValidation type="whole" allowBlank="1" showInputMessage="1" showErrorMessage="1" error="¡¡¡¡¡¡....Ingresar_x000a_solo_x000a_ numeros...!!!!!!!" sqref="F6:G291 C6:D291">
      <x:formula1>0</x:formula1>
      <x:formula2>500000</x:formula2>
    </x:dataValidation>
  </x:dataValidations>
  <x:pageMargins left="0.7" right="0.7" top="0.75" bottom="0.75" header="0.3" footer="0.3"/>
  <x:drawing xmlns:r="http://schemas.openxmlformats.org/officeDocument/2006/relationships" r:id="Rbc2f3b4b83994518"/>
  <x:tableParts count="1">
    <x:tablePart xmlns:r="http://schemas.openxmlformats.org/officeDocument/2006/relationships" r:id="R510b84727800488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11.42578125" defaultRowHeight="15"/>
  <x:cols>
    <x:col min="1" max="1" width="14.7109375" style="2" customWidth="1"/>
    <x:col min="2" max="2" width="54" style="10" customWidth="1"/>
    <x:col min="3" max="3" width="17.28515625" style="2" customWidth="1"/>
    <x:col min="4" max="4" width="14.7109375" style="2" customWidth="1"/>
    <x:col min="5" max="5" width="18.7109375" style="2" customWidth="1"/>
    <x:col min="6" max="6" width="17" style="2" customWidth="1"/>
    <x:col min="7" max="7" width="22.140625" style="2" customWidth="1"/>
    <x:col min="8" max="9" width="11.42578125" style="2" customWidth="0"/>
    <x:col min="10" max="10" width="0" style="2" hidden="1" customWidth="1"/>
    <x:col min="11" max="16384" width="11.42578125" style="2" customWidth="0"/>
  </x:cols>
  <x:sheetData>
    <x:row r="1" ht="15" customHeight="1">
      <x:c r="A1" s="30"/>
      <x:c r="B1" s="1"/>
      <x:c r="J1" s="2" t="s">
        <x:v>0</x:v>
      </x:c>
    </x:row>
    <x:row r="2" ht="15" customHeight="1">
      <x:c r="A2" s="30"/>
      <x:c r="B2" s="31" t="s">
        <x:v>1</x:v>
      </x:c>
      <x:c r="C2" s="31"/>
      <x:c r="D2" s="31"/>
      <x:c r="E2" s="3" t="s">
        <x:v>2</x:v>
      </x:c>
      <x:c r="F2" s="32" t="s">
        <x:v>3</x:v>
      </x:c>
      <x:c r="G2" s="32"/>
      <x:c r="J2" s="2" t="s">
        <x:v>4</x:v>
      </x:c>
    </x:row>
    <x:row r="3" ht="15" customHeight="1">
      <x:c r="A3" s="30"/>
      <x:c r="B3" s="31"/>
      <x:c r="C3" s="31"/>
      <x:c r="D3" s="31"/>
      <x:c r="E3" s="3" t="s">
        <x:v>5</x:v>
      </x:c>
      <x:c r="F3" s="33"/>
      <x:c r="G3" s="33"/>
      <x:c r="J3" s="2" t="s">
        <x:v>3</x:v>
      </x:c>
    </x:row>
    <x:row r="4" ht="15" customHeight="1">
      <x:c r="A4" s="30"/>
      <x:c r="B4" s="1"/>
      <x:c r="J4" s="2" t="s">
        <x:v>6</x:v>
      </x:c>
    </x:row>
    <x:row r="5" ht="15" customHeight="1">
      <x:c r="A5" s="4" t="s">
        <x:v>7</x:v>
      </x:c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7" t="s">
        <x:v>13</x:v>
      </x:c>
      <x:c r="J5" s="2" t="s">
        <x:v>14</x:v>
      </x:c>
    </x:row>
    <x:row r="6" ht="15" customHeight="1">
      <x:c r="A6" s="8" t="s">
        <x:v>36</x:v>
      </x:c>
      <x:c r="B6" s="8" t="s">
        <x:v>310</x:v>
      </x:c>
      <x:c r="C6" s="26"/>
      <x:c r="D6" s="26"/>
      <x:c r="E6" s="20" t="e">
        <x:f>-(Tabla2[[#This Row],[STOCK ACTUAL]]-Tabla2[[#This Row],[CONSUMO MENSUAL]]*1.15)</x:f>
        <x:v>#VALUE!</x:v>
      </x:c>
      <x:c r="F6" s="27"/>
      <x:c r="G6" s="11"/>
      <x:c r="J6" s="2" t="s">
        <x:v>311</x:v>
      </x:c>
    </x:row>
    <x:row r="7" ht="15" customHeight="1">
      <x:c r="A7" s="8" t="s">
        <x:v>36</x:v>
      </x:c>
      <x:c r="B7" s="8" t="s">
        <x:v>312</x:v>
      </x:c>
      <x:c r="C7" s="26"/>
      <x:c r="D7" s="26"/>
      <x:c r="E7" s="20" t="e">
        <x:f>-(Tabla2[[#This Row],[STOCK ACTUAL]]-Tabla2[[#This Row],[CONSUMO MENSUAL]]*1.15)</x:f>
        <x:v>#VALUE!</x:v>
      </x:c>
      <x:c r="F7" s="27"/>
      <x:c r="G7" s="11"/>
      <x:c r="J7" s="2" t="s">
        <x:v>17</x:v>
      </x:c>
    </x:row>
    <x:row r="8" ht="15" customHeight="1">
      <x:c r="A8" s="8" t="s">
        <x:v>36</x:v>
      </x:c>
      <x:c r="B8" s="8" t="s">
        <x:v>313</x:v>
      </x:c>
      <x:c r="C8" s="19"/>
      <x:c r="D8" s="19"/>
      <x:c r="E8" s="20" t="e">
        <x:f>-(Tabla2[[#This Row],[STOCK ACTUAL]]-Tabla2[[#This Row],[CONSUMO MENSUAL]]*1.15)</x:f>
        <x:v>#VALUE!</x:v>
      </x:c>
      <x:c r="F8" s="12"/>
      <x:c r="G8" s="11"/>
      <x:c r="J8" s="2" t="s">
        <x:v>20</x:v>
      </x:c>
    </x:row>
    <x:row r="9" ht="15" customHeight="1">
      <x:c r="A9" s="8" t="s">
        <x:v>45</x:v>
      </x:c>
      <x:c r="B9" s="8" t="s">
        <x:v>314</x:v>
      </x:c>
      <x:c r="C9" s="19"/>
      <x:c r="D9" s="19"/>
      <x:c r="E9" s="20" t="e">
        <x:f>-(Tabla2[[#This Row],[STOCK ACTUAL]]-Tabla2[[#This Row],[CONSUMO MENSUAL]]*1.15)</x:f>
        <x:v>#VALUE!</x:v>
      </x:c>
      <x:c r="F9" s="12"/>
      <x:c r="G9" s="11"/>
      <x:c r="J9" s="2" t="s">
        <x:v>22</x:v>
      </x:c>
    </x:row>
    <x:row r="10" ht="15" customHeight="1">
      <x:c r="A10" s="8" t="s">
        <x:v>315</x:v>
      </x:c>
      <x:c r="B10" s="8" t="s">
        <x:v>316</x:v>
      </x:c>
      <x:c r="C10" s="19"/>
      <x:c r="D10" s="19"/>
      <x:c r="E10" s="20" t="e">
        <x:f>-(Tabla2[[#This Row],[STOCK ACTUAL]]-Tabla2[[#This Row],[CONSUMO MENSUAL]]*1.15)</x:f>
        <x:v>#VALUE!</x:v>
      </x:c>
      <x:c r="F10" s="12"/>
      <x:c r="G10" s="11"/>
      <x:c r="J10" s="2" t="s">
        <x:v>24</x:v>
      </x:c>
    </x:row>
    <x:row r="11" ht="15" customHeight="1">
      <x:c r="A11" s="8" t="s">
        <x:v>45</x:v>
      </x:c>
      <x:c r="B11" s="8" t="s">
        <x:v>317</x:v>
      </x:c>
      <x:c r="C11" s="19"/>
      <x:c r="D11" s="19"/>
      <x:c r="E11" s="20" t="e">
        <x:f>-(Tabla2[[#This Row],[STOCK ACTUAL]]-Tabla2[[#This Row],[CONSUMO MENSUAL]]*1.15)</x:f>
        <x:v>#VALUE!</x:v>
      </x:c>
      <x:c r="F11" s="12"/>
      <x:c r="G11" s="11"/>
      <x:c r="J11" s="2" t="s">
        <x:v>27</x:v>
      </x:c>
    </x:row>
    <x:row r="12" ht="15" customHeight="1">
      <x:c r="A12" s="8" t="s">
        <x:v>45</x:v>
      </x:c>
      <x:c r="B12" s="8" t="s">
        <x:v>318</x:v>
      </x:c>
      <x:c r="C12" s="19"/>
      <x:c r="D12" s="19"/>
      <x:c r="E12" s="20" t="e">
        <x:f>-(Tabla2[[#This Row],[STOCK ACTUAL]]-Tabla2[[#This Row],[CONSUMO MENSUAL]]*1.15)</x:f>
        <x:v>#VALUE!</x:v>
      </x:c>
      <x:c r="F12" s="12"/>
      <x:c r="G12" s="11"/>
      <x:c r="J12" s="2" t="s">
        <x:v>29</x:v>
      </x:c>
    </x:row>
    <x:row r="13" ht="15" customHeight="1">
      <x:c r="A13" s="8" t="s">
        <x:v>45</x:v>
      </x:c>
      <x:c r="B13" s="8" t="s">
        <x:v>319</x:v>
      </x:c>
      <x:c r="C13" s="19"/>
      <x:c r="D13" s="19"/>
      <x:c r="E13" s="20" t="e">
        <x:f>-(Tabla2[[#This Row],[STOCK ACTUAL]]-Tabla2[[#This Row],[CONSUMO MENSUAL]]*1.15)</x:f>
        <x:v>#VALUE!</x:v>
      </x:c>
      <x:c r="F13" s="12"/>
      <x:c r="G13" s="11"/>
    </x:row>
    <x:row r="14" ht="15" customHeight="1">
      <x:c r="A14" s="8" t="s">
        <x:v>45</x:v>
      </x:c>
      <x:c r="B14" s="8" t="s">
        <x:v>320</x:v>
      </x:c>
      <x:c r="C14" s="19"/>
      <x:c r="D14" s="19"/>
      <x:c r="E14" s="20" t="e">
        <x:f>-(Tabla2[[#This Row],[STOCK ACTUAL]]-Tabla2[[#This Row],[CONSUMO MENSUAL]]*1.15)</x:f>
        <x:v>#VALUE!</x:v>
      </x:c>
      <x:c r="F14" s="12"/>
      <x:c r="G14" s="11"/>
    </x:row>
    <x:row r="15" ht="15" customHeight="1">
      <x:c r="A15" s="8" t="s">
        <x:v>45</x:v>
      </x:c>
      <x:c r="B15" s="8" t="s">
        <x:v>321</x:v>
      </x:c>
      <x:c r="C15" s="19"/>
      <x:c r="D15" s="19"/>
      <x:c r="E15" s="20" t="e">
        <x:f>-(Tabla2[[#This Row],[STOCK ACTUAL]]-Tabla2[[#This Row],[CONSUMO MENSUAL]]*1.15)</x:f>
        <x:v>#VALUE!</x:v>
      </x:c>
      <x:c r="F15" s="12"/>
      <x:c r="G15" s="11"/>
    </x:row>
    <x:row r="16" ht="15" customHeight="1">
      <x:c r="A16" s="8" t="s">
        <x:v>45</x:v>
      </x:c>
      <x:c r="B16" s="8" t="s">
        <x:v>322</x:v>
      </x:c>
      <x:c r="C16" s="19"/>
      <x:c r="D16" s="19"/>
      <x:c r="E16" s="20" t="e">
        <x:f>-(Tabla2[[#This Row],[STOCK ACTUAL]]-Tabla2[[#This Row],[CONSUMO MENSUAL]]*1.15)</x:f>
        <x:v>#VALUE!</x:v>
      </x:c>
      <x:c r="F16" s="12"/>
      <x:c r="G16" s="11"/>
    </x:row>
    <x:row r="17" ht="15" customHeight="1">
      <x:c r="A17" s="8" t="s">
        <x:v>45</x:v>
      </x:c>
      <x:c r="B17" s="8" t="s">
        <x:v>323</x:v>
      </x:c>
      <x:c r="C17" s="19"/>
      <x:c r="D17" s="19"/>
      <x:c r="E17" s="20" t="e">
        <x:f>-(Tabla2[[#This Row],[STOCK ACTUAL]]-Tabla2[[#This Row],[CONSUMO MENSUAL]]*1.15)</x:f>
        <x:v>#VALUE!</x:v>
      </x:c>
      <x:c r="F17" s="12"/>
      <x:c r="G17" s="11"/>
    </x:row>
    <x:row r="18" ht="15" customHeight="1">
      <x:c r="A18" s="8" t="s">
        <x:v>45</x:v>
      </x:c>
      <x:c r="B18" s="8" t="s">
        <x:v>324</x:v>
      </x:c>
      <x:c r="C18" s="19"/>
      <x:c r="D18" s="19"/>
      <x:c r="E18" s="20" t="e">
        <x:f>-(Tabla2[[#This Row],[STOCK ACTUAL]]-Tabla2[[#This Row],[CONSUMO MENSUAL]]*1.15)</x:f>
        <x:v>#VALUE!</x:v>
      </x:c>
      <x:c r="F18" s="12"/>
      <x:c r="G18" s="11"/>
    </x:row>
    <x:row r="19" ht="15" customHeight="1">
      <x:c r="A19" s="8" t="s">
        <x:v>45</x:v>
      </x:c>
      <x:c r="B19" s="8" t="s">
        <x:v>325</x:v>
      </x:c>
      <x:c r="C19" s="19"/>
      <x:c r="D19" s="19"/>
      <x:c r="E19" s="20" t="e">
        <x:f>-(Tabla2[[#This Row],[STOCK ACTUAL]]-Tabla2[[#This Row],[CONSUMO MENSUAL]]*1.15)</x:f>
        <x:v>#VALUE!</x:v>
      </x:c>
      <x:c r="F19" s="12"/>
      <x:c r="G19" s="11"/>
    </x:row>
    <x:row r="20" ht="15" customHeight="1">
      <x:c r="A20" s="8" t="s">
        <x:v>45</x:v>
      </x:c>
      <x:c r="B20" s="8" t="s">
        <x:v>326</x:v>
      </x:c>
      <x:c r="C20" s="19"/>
      <x:c r="D20" s="19"/>
      <x:c r="E20" s="20" t="e">
        <x:f>-(Tabla2[[#This Row],[STOCK ACTUAL]]-Tabla2[[#This Row],[CONSUMO MENSUAL]]*1.15)</x:f>
        <x:v>#VALUE!</x:v>
      </x:c>
      <x:c r="F20" s="12"/>
      <x:c r="G20" s="11"/>
    </x:row>
    <x:row r="21" ht="15" customHeight="1">
      <x:c r="A21" s="8" t="s">
        <x:v>45</x:v>
      </x:c>
      <x:c r="B21" s="8" t="s">
        <x:v>327</x:v>
      </x:c>
      <x:c r="C21" s="19"/>
      <x:c r="D21" s="19"/>
      <x:c r="E21" s="20" t="e">
        <x:f>-(Tabla2[[#This Row],[STOCK ACTUAL]]-Tabla2[[#This Row],[CONSUMO MENSUAL]]*1.15)</x:f>
        <x:v>#VALUE!</x:v>
      </x:c>
      <x:c r="F21" s="12"/>
      <x:c r="G21" s="11"/>
    </x:row>
    <x:row r="22" ht="15" customHeight="1">
      <x:c r="A22" s="8" t="s">
        <x:v>45</x:v>
      </x:c>
      <x:c r="B22" s="8" t="s">
        <x:v>328</x:v>
      </x:c>
      <x:c r="C22" s="19"/>
      <x:c r="D22" s="19"/>
      <x:c r="E22" s="20" t="e">
        <x:f>-(Tabla2[[#This Row],[STOCK ACTUAL]]-Tabla2[[#This Row],[CONSUMO MENSUAL]]*1.15)</x:f>
        <x:v>#VALUE!</x:v>
      </x:c>
      <x:c r="F22" s="12"/>
      <x:c r="G22" s="11"/>
    </x:row>
    <x:row r="23" ht="15" customHeight="1">
      <x:c r="A23" s="8" t="s">
        <x:v>45</x:v>
      </x:c>
      <x:c r="B23" s="8" t="s">
        <x:v>329</x:v>
      </x:c>
      <x:c r="C23" s="19"/>
      <x:c r="D23" s="19"/>
      <x:c r="E23" s="20" t="e">
        <x:f>-(Tabla2[[#This Row],[STOCK ACTUAL]]-Tabla2[[#This Row],[CONSUMO MENSUAL]]*1.15)</x:f>
        <x:v>#VALUE!</x:v>
      </x:c>
      <x:c r="F23" s="12"/>
      <x:c r="G23" s="11"/>
    </x:row>
    <x:row r="24" ht="15" customHeight="1">
      <x:c r="A24" s="8" t="s">
        <x:v>45</x:v>
      </x:c>
      <x:c r="B24" s="8" t="s">
        <x:v>330</x:v>
      </x:c>
      <x:c r="C24" s="19"/>
      <x:c r="D24" s="19"/>
      <x:c r="E24" s="20" t="e">
        <x:f>-(Tabla2[[#This Row],[STOCK ACTUAL]]-Tabla2[[#This Row],[CONSUMO MENSUAL]]*1.15)</x:f>
        <x:v>#VALUE!</x:v>
      </x:c>
      <x:c r="F24" s="12"/>
      <x:c r="G24" s="11"/>
    </x:row>
    <x:row r="25" ht="15" customHeight="1">
      <x:c r="A25" s="8" t="s">
        <x:v>45</x:v>
      </x:c>
      <x:c r="B25" s="8" t="s">
        <x:v>331</x:v>
      </x:c>
      <x:c r="C25" s="19"/>
      <x:c r="D25" s="19"/>
      <x:c r="E25" s="20" t="e">
        <x:f>-(Tabla2[[#This Row],[STOCK ACTUAL]]-Tabla2[[#This Row],[CONSUMO MENSUAL]]*1.15)</x:f>
        <x:v>#VALUE!</x:v>
      </x:c>
      <x:c r="F25" s="12"/>
      <x:c r="G25" s="11"/>
    </x:row>
    <x:row r="26" ht="15" customHeight="1">
      <x:c r="A26" s="8" t="s">
        <x:v>45</x:v>
      </x:c>
      <x:c r="B26" s="8" t="s">
        <x:v>332</x:v>
      </x:c>
      <x:c r="C26" s="19"/>
      <x:c r="D26" s="19"/>
      <x:c r="E26" s="20" t="e">
        <x:f>-(Tabla2[[#This Row],[STOCK ACTUAL]]-Tabla2[[#This Row],[CONSUMO MENSUAL]]*1.15)</x:f>
        <x:v>#VALUE!</x:v>
      </x:c>
      <x:c r="F26" s="12"/>
      <x:c r="G26" s="11"/>
    </x:row>
    <x:row r="27" ht="15" customHeight="1">
      <x:c r="A27" s="8" t="s">
        <x:v>45</x:v>
      </x:c>
      <x:c r="B27" s="8" t="s">
        <x:v>333</x:v>
      </x:c>
      <x:c r="C27" s="19"/>
      <x:c r="D27" s="19"/>
      <x:c r="E27" s="20" t="e">
        <x:f>-(Tabla2[[#This Row],[STOCK ACTUAL]]-Tabla2[[#This Row],[CONSUMO MENSUAL]]*1.15)</x:f>
        <x:v>#VALUE!</x:v>
      </x:c>
      <x:c r="F27" s="12"/>
      <x:c r="G27" s="11"/>
    </x:row>
    <x:row r="28" ht="15" customHeight="1">
      <x:c r="A28" s="8" t="s">
        <x:v>334</x:v>
      </x:c>
      <x:c r="B28" s="8" t="s">
        <x:v>335</x:v>
      </x:c>
      <x:c r="C28" s="19"/>
      <x:c r="D28" s="19"/>
      <x:c r="E28" s="20" t="e">
        <x:f>-(Tabla2[[#This Row],[STOCK ACTUAL]]-Tabla2[[#This Row],[CONSUMO MENSUAL]]*1.15)</x:f>
        <x:v>#VALUE!</x:v>
      </x:c>
      <x:c r="F28" s="12"/>
      <x:c r="G28" s="11"/>
    </x:row>
    <x:row r="29" ht="15" customHeight="1">
      <x:c r="A29" s="8" t="s">
        <x:v>334</x:v>
      </x:c>
      <x:c r="B29" s="8" t="s">
        <x:v>336</x:v>
      </x:c>
      <x:c r="C29" s="19"/>
      <x:c r="D29" s="19"/>
      <x:c r="E29" s="20" t="e">
        <x:f>-(Tabla2[[#This Row],[STOCK ACTUAL]]-Tabla2[[#This Row],[CONSUMO MENSUAL]]*1.15)</x:f>
        <x:v>#VALUE!</x:v>
      </x:c>
      <x:c r="F29" s="12"/>
      <x:c r="G29" s="11"/>
    </x:row>
    <x:row r="30" ht="15" customHeight="1">
      <x:c r="A30" s="8" t="s">
        <x:v>45</x:v>
      </x:c>
      <x:c r="B30" s="8" t="s">
        <x:v>337</x:v>
      </x:c>
      <x:c r="C30" s="19"/>
      <x:c r="D30" s="19"/>
      <x:c r="E30" s="20" t="e">
        <x:f>-(Tabla2[[#This Row],[STOCK ACTUAL]]-Tabla2[[#This Row],[CONSUMO MENSUAL]]*1.15)</x:f>
        <x:v>#VALUE!</x:v>
      </x:c>
      <x:c r="F30" s="12"/>
      <x:c r="G30" s="11"/>
    </x:row>
    <x:row r="31" ht="15" customHeight="1">
      <x:c r="A31" s="8" t="s">
        <x:v>334</x:v>
      </x:c>
      <x:c r="B31" s="8" t="s">
        <x:v>338</x:v>
      </x:c>
      <x:c r="C31" s="19"/>
      <x:c r="D31" s="19"/>
      <x:c r="E31" s="20" t="e">
        <x:f>-(Tabla2[[#This Row],[STOCK ACTUAL]]-Tabla2[[#This Row],[CONSUMO MENSUAL]]*1.15)</x:f>
        <x:v>#VALUE!</x:v>
      </x:c>
      <x:c r="F31" s="12"/>
      <x:c r="G31" s="11"/>
    </x:row>
    <x:row r="32" ht="15" customHeight="1">
      <x:c r="A32" s="8" t="s">
        <x:v>45</x:v>
      </x:c>
      <x:c r="B32" s="8" t="s">
        <x:v>339</x:v>
      </x:c>
      <x:c r="C32" s="19"/>
      <x:c r="D32" s="19"/>
      <x:c r="E32" s="20" t="e">
        <x:f>-(Tabla2[[#This Row],[STOCK ACTUAL]]-Tabla2[[#This Row],[CONSUMO MENSUAL]]*1.15)</x:f>
        <x:v>#VALUE!</x:v>
      </x:c>
      <x:c r="F32" s="12"/>
      <x:c r="G32" s="11"/>
    </x:row>
    <x:row r="33" ht="15" customHeight="1">
      <x:c r="A33" s="8" t="s">
        <x:v>45</x:v>
      </x:c>
      <x:c r="B33" s="8" t="s">
        <x:v>340</x:v>
      </x:c>
      <x:c r="C33" s="19"/>
      <x:c r="D33" s="19"/>
      <x:c r="E33" s="20" t="e">
        <x:f>-(Tabla2[[#This Row],[STOCK ACTUAL]]-Tabla2[[#This Row],[CONSUMO MENSUAL]]*1.15)</x:f>
        <x:v>#VALUE!</x:v>
      </x:c>
      <x:c r="F33" s="12"/>
      <x:c r="G33" s="11"/>
    </x:row>
    <x:row r="34" ht="15" customHeight="1">
      <x:c r="A34" s="8" t="s">
        <x:v>45</x:v>
      </x:c>
      <x:c r="B34" s="8" t="s">
        <x:v>341</x:v>
      </x:c>
      <x:c r="C34" s="19"/>
      <x:c r="D34" s="19"/>
      <x:c r="E34" s="20" t="e">
        <x:f>-(Tabla2[[#This Row],[STOCK ACTUAL]]-Tabla2[[#This Row],[CONSUMO MENSUAL]]*1.15)</x:f>
        <x:v>#VALUE!</x:v>
      </x:c>
      <x:c r="F34" s="12"/>
      <x:c r="G34" s="11"/>
    </x:row>
    <x:row r="35" ht="15" customHeight="1">
      <x:c r="A35" s="8" t="s">
        <x:v>45</x:v>
      </x:c>
      <x:c r="B35" s="8" t="s">
        <x:v>342</x:v>
      </x:c>
      <x:c r="C35" s="19"/>
      <x:c r="D35" s="19"/>
      <x:c r="E35" s="20" t="e">
        <x:f>-(Tabla2[[#This Row],[STOCK ACTUAL]]-Tabla2[[#This Row],[CONSUMO MENSUAL]]*1.15)</x:f>
        <x:v>#VALUE!</x:v>
      </x:c>
      <x:c r="F35" s="12"/>
      <x:c r="G35" s="11"/>
    </x:row>
    <x:row r="36" ht="15" customHeight="1">
      <x:c r="A36" s="8" t="s">
        <x:v>45</x:v>
      </x:c>
      <x:c r="B36" s="8" t="s">
        <x:v>343</x:v>
      </x:c>
      <x:c r="C36" s="19"/>
      <x:c r="D36" s="19"/>
      <x:c r="E36" s="20" t="e">
        <x:f>-(Tabla2[[#This Row],[STOCK ACTUAL]]-Tabla2[[#This Row],[CONSUMO MENSUAL]]*1.15)</x:f>
        <x:v>#VALUE!</x:v>
      </x:c>
      <x:c r="F36" s="12"/>
      <x:c r="G36" s="11"/>
    </x:row>
    <x:row r="37" ht="15" customHeight="1">
      <x:c r="A37" s="8" t="s">
        <x:v>45</x:v>
      </x:c>
      <x:c r="B37" s="8" t="s">
        <x:v>344</x:v>
      </x:c>
      <x:c r="C37" s="19"/>
      <x:c r="D37" s="19"/>
      <x:c r="E37" s="20" t="e">
        <x:f>-(Tabla2[[#This Row],[STOCK ACTUAL]]-Tabla2[[#This Row],[CONSUMO MENSUAL]]*1.15)</x:f>
        <x:v>#VALUE!</x:v>
      </x:c>
      <x:c r="F37" s="12"/>
      <x:c r="G37" s="11"/>
    </x:row>
    <x:row r="38" ht="15" customHeight="1">
      <x:c r="A38" s="8" t="s">
        <x:v>45</x:v>
      </x:c>
      <x:c r="B38" s="8" t="s">
        <x:v>345</x:v>
      </x:c>
      <x:c r="C38" s="19"/>
      <x:c r="D38" s="19"/>
      <x:c r="E38" s="20" t="e">
        <x:f>-(Tabla2[[#This Row],[STOCK ACTUAL]]-Tabla2[[#This Row],[CONSUMO MENSUAL]]*1.15)</x:f>
        <x:v>#VALUE!</x:v>
      </x:c>
      <x:c r="F38" s="12"/>
      <x:c r="G38" s="11"/>
    </x:row>
    <x:row r="39" ht="15" customHeight="1">
      <x:c r="A39" s="8" t="s">
        <x:v>45</x:v>
      </x:c>
      <x:c r="B39" s="8" t="s">
        <x:v>346</x:v>
      </x:c>
      <x:c r="C39" s="19"/>
      <x:c r="D39" s="19"/>
      <x:c r="E39" s="20" t="e">
        <x:f>-(Tabla2[[#This Row],[STOCK ACTUAL]]-Tabla2[[#This Row],[CONSUMO MENSUAL]]*1.15)</x:f>
        <x:v>#VALUE!</x:v>
      </x:c>
      <x:c r="F39" s="12"/>
      <x:c r="G39" s="11"/>
    </x:row>
    <x:row r="40" ht="15" customHeight="1">
      <x:c r="A40" s="8" t="s">
        <x:v>45</x:v>
      </x:c>
      <x:c r="B40" s="8" t="s">
        <x:v>347</x:v>
      </x:c>
      <x:c r="C40" s="19"/>
      <x:c r="D40" s="19"/>
      <x:c r="E40" s="20" t="e">
        <x:f>-(Tabla2[[#This Row],[STOCK ACTUAL]]-Tabla2[[#This Row],[CONSUMO MENSUAL]]*1.15)</x:f>
        <x:v>#VALUE!</x:v>
      </x:c>
      <x:c r="F40" s="12"/>
      <x:c r="G40" s="11"/>
    </x:row>
    <x:row r="41" ht="15" customHeight="1">
      <x:c r="A41" s="8" t="s">
        <x:v>45</x:v>
      </x:c>
      <x:c r="B41" s="8" t="s">
        <x:v>348</x:v>
      </x:c>
      <x:c r="C41" s="19"/>
      <x:c r="D41" s="19"/>
      <x:c r="E41" s="20" t="e">
        <x:f>-(Tabla2[[#This Row],[STOCK ACTUAL]]-Tabla2[[#This Row],[CONSUMO MENSUAL]]*1.15)</x:f>
        <x:v>#VALUE!</x:v>
      </x:c>
      <x:c r="F41" s="12"/>
      <x:c r="G41" s="11"/>
    </x:row>
    <x:row r="42" ht="15" customHeight="1">
      <x:c r="A42" s="8" t="s">
        <x:v>45</x:v>
      </x:c>
      <x:c r="B42" s="8" t="s">
        <x:v>349</x:v>
      </x:c>
      <x:c r="C42" s="19"/>
      <x:c r="D42" s="19"/>
      <x:c r="E42" s="20" t="e">
        <x:f>-(Tabla2[[#This Row],[STOCK ACTUAL]]-Tabla2[[#This Row],[CONSUMO MENSUAL]]*1.15)</x:f>
        <x:v>#VALUE!</x:v>
      </x:c>
      <x:c r="F42" s="12"/>
      <x:c r="G42" s="11"/>
    </x:row>
    <x:row r="43" ht="15" customHeight="1">
      <x:c r="A43" s="8" t="s">
        <x:v>45</x:v>
      </x:c>
      <x:c r="B43" s="8" t="s">
        <x:v>350</x:v>
      </x:c>
      <x:c r="C43" s="19"/>
      <x:c r="D43" s="19"/>
      <x:c r="E43" s="20" t="e">
        <x:f>-(Tabla2[[#This Row],[STOCK ACTUAL]]-Tabla2[[#This Row],[CONSUMO MENSUAL]]*1.15)</x:f>
        <x:v>#VALUE!</x:v>
      </x:c>
      <x:c r="F43" s="12"/>
      <x:c r="G43" s="11"/>
    </x:row>
    <x:row r="44" ht="15" customHeight="1">
      <x:c r="A44" s="8" t="s">
        <x:v>45</x:v>
      </x:c>
      <x:c r="B44" s="8" t="s">
        <x:v>351</x:v>
      </x:c>
      <x:c r="C44" s="19"/>
      <x:c r="D44" s="19"/>
      <x:c r="E44" s="20" t="e">
        <x:f>-(Tabla2[[#This Row],[STOCK ACTUAL]]-Tabla2[[#This Row],[CONSUMO MENSUAL]]*1.15)</x:f>
        <x:v>#VALUE!</x:v>
      </x:c>
      <x:c r="F44" s="12"/>
      <x:c r="G44" s="11"/>
    </x:row>
    <x:row r="45" ht="15" customHeight="1">
      <x:c r="A45" s="8" t="s">
        <x:v>45</x:v>
      </x:c>
      <x:c r="B45" s="8" t="s">
        <x:v>352</x:v>
      </x:c>
      <x:c r="C45" s="19"/>
      <x:c r="D45" s="19"/>
      <x:c r="E45" s="20" t="e">
        <x:f>-(Tabla2[[#This Row],[STOCK ACTUAL]]-Tabla2[[#This Row],[CONSUMO MENSUAL]]*1.15)</x:f>
        <x:v>#VALUE!</x:v>
      </x:c>
      <x:c r="F45" s="12"/>
      <x:c r="G45" s="11"/>
    </x:row>
    <x:row r="46" ht="15" customHeight="1">
      <x:c r="A46" s="8" t="s">
        <x:v>45</x:v>
      </x:c>
      <x:c r="B46" s="8" t="s">
        <x:v>353</x:v>
      </x:c>
      <x:c r="C46" s="19"/>
      <x:c r="D46" s="19"/>
      <x:c r="E46" s="20" t="e">
        <x:f>-(Tabla2[[#This Row],[STOCK ACTUAL]]-Tabla2[[#This Row],[CONSUMO MENSUAL]]*1.15)</x:f>
        <x:v>#VALUE!</x:v>
      </x:c>
      <x:c r="F46" s="12"/>
      <x:c r="G46" s="11"/>
    </x:row>
    <x:row r="47" ht="15" customHeight="1">
      <x:c r="A47" s="8" t="s">
        <x:v>45</x:v>
      </x:c>
      <x:c r="B47" s="8" t="s">
        <x:v>354</x:v>
      </x:c>
      <x:c r="C47" s="19"/>
      <x:c r="D47" s="19"/>
      <x:c r="E47" s="20" t="e">
        <x:f>-(Tabla2[[#This Row],[STOCK ACTUAL]]-Tabla2[[#This Row],[CONSUMO MENSUAL]]*1.15)</x:f>
        <x:v>#VALUE!</x:v>
      </x:c>
      <x:c r="F47" s="12"/>
      <x:c r="G47" s="11"/>
    </x:row>
    <x:row r="48" ht="15" customHeight="1">
      <x:c r="A48" s="8" t="s">
        <x:v>45</x:v>
      </x:c>
      <x:c r="B48" s="8" t="s">
        <x:v>355</x:v>
      </x:c>
      <x:c r="C48" s="19"/>
      <x:c r="D48" s="19"/>
      <x:c r="E48" s="20" t="e">
        <x:f>-(Tabla2[[#This Row],[STOCK ACTUAL]]-Tabla2[[#This Row],[CONSUMO MENSUAL]]*1.15)</x:f>
        <x:v>#VALUE!</x:v>
      </x:c>
      <x:c r="F48" s="12"/>
      <x:c r="G48" s="11"/>
    </x:row>
    <x:row r="49" ht="15" customHeight="1">
      <x:c r="A49" s="8" t="s">
        <x:v>45</x:v>
      </x:c>
      <x:c r="B49" s="8" t="s">
        <x:v>356</x:v>
      </x:c>
      <x:c r="C49" s="19"/>
      <x:c r="D49" s="19"/>
      <x:c r="E49" s="20" t="e">
        <x:f>-(Tabla2[[#This Row],[STOCK ACTUAL]]-Tabla2[[#This Row],[CONSUMO MENSUAL]]*1.15)</x:f>
        <x:v>#VALUE!</x:v>
      </x:c>
      <x:c r="F49" s="12"/>
      <x:c r="G49" s="11"/>
    </x:row>
    <x:row r="50" ht="15" customHeight="1">
      <x:c r="A50" s="8" t="s">
        <x:v>45</x:v>
      </x:c>
      <x:c r="B50" s="8" t="s">
        <x:v>357</x:v>
      </x:c>
      <x:c r="C50" s="19"/>
      <x:c r="D50" s="19"/>
      <x:c r="E50" s="20" t="e">
        <x:f>-(Tabla2[[#This Row],[STOCK ACTUAL]]-Tabla2[[#This Row],[CONSUMO MENSUAL]]*1.15)</x:f>
        <x:v>#VALUE!</x:v>
      </x:c>
      <x:c r="F50" s="12"/>
      <x:c r="G50" s="11"/>
    </x:row>
    <x:row r="51" ht="15" customHeight="1">
      <x:c r="A51" s="8" t="s">
        <x:v>45</x:v>
      </x:c>
      <x:c r="B51" s="8" t="s">
        <x:v>358</x:v>
      </x:c>
      <x:c r="C51" s="19"/>
      <x:c r="D51" s="19"/>
      <x:c r="E51" s="20" t="e">
        <x:f>-(Tabla2[[#This Row],[STOCK ACTUAL]]-Tabla2[[#This Row],[CONSUMO MENSUAL]]*1.15)</x:f>
        <x:v>#VALUE!</x:v>
      </x:c>
      <x:c r="F51" s="12"/>
      <x:c r="G51" s="11"/>
    </x:row>
    <x:row r="52" ht="15" customHeight="1">
      <x:c r="A52" s="8" t="s">
        <x:v>45</x:v>
      </x:c>
      <x:c r="B52" s="8" t="s">
        <x:v>359</x:v>
      </x:c>
      <x:c r="C52" s="19"/>
      <x:c r="D52" s="19"/>
      <x:c r="E52" s="20" t="e">
        <x:f>-(Tabla2[[#This Row],[STOCK ACTUAL]]-Tabla2[[#This Row],[CONSUMO MENSUAL]]*1.15)</x:f>
        <x:v>#VALUE!</x:v>
      </x:c>
      <x:c r="F52" s="12"/>
      <x:c r="G52" s="11"/>
    </x:row>
    <x:row r="53" ht="15" customHeight="1">
      <x:c r="A53" s="8" t="s">
        <x:v>45</x:v>
      </x:c>
      <x:c r="B53" s="8" t="s">
        <x:v>360</x:v>
      </x:c>
      <x:c r="C53" s="19"/>
      <x:c r="D53" s="19"/>
      <x:c r="E53" s="20" t="e">
        <x:f>-(Tabla2[[#This Row],[STOCK ACTUAL]]-Tabla2[[#This Row],[CONSUMO MENSUAL]]*1.15)</x:f>
        <x:v>#VALUE!</x:v>
      </x:c>
      <x:c r="F53" s="12"/>
      <x:c r="G53" s="11"/>
    </x:row>
    <x:row r="54" ht="15" customHeight="1">
      <x:c r="A54" s="8" t="s">
        <x:v>45</x:v>
      </x:c>
      <x:c r="B54" s="8" t="s">
        <x:v>361</x:v>
      </x:c>
      <x:c r="C54" s="19"/>
      <x:c r="D54" s="19"/>
      <x:c r="E54" s="20" t="e">
        <x:f>-(Tabla2[[#This Row],[STOCK ACTUAL]]-Tabla2[[#This Row],[CONSUMO MENSUAL]]*1.15)</x:f>
        <x:v>#VALUE!</x:v>
      </x:c>
      <x:c r="F54" s="12"/>
      <x:c r="G54" s="11"/>
    </x:row>
    <x:row r="55" ht="15" customHeight="1">
      <x:c r="A55" s="8" t="s">
        <x:v>45</x:v>
      </x:c>
      <x:c r="B55" s="8" t="s">
        <x:v>362</x:v>
      </x:c>
      <x:c r="C55" s="19"/>
      <x:c r="D55" s="19"/>
      <x:c r="E55" s="20" t="e">
        <x:f>-(Tabla2[[#This Row],[STOCK ACTUAL]]-Tabla2[[#This Row],[CONSUMO MENSUAL]]*1.15)</x:f>
        <x:v>#VALUE!</x:v>
      </x:c>
      <x:c r="F55" s="12"/>
      <x:c r="G55" s="11"/>
    </x:row>
    <x:row r="56" ht="15" customHeight="1">
      <x:c r="A56" s="8" t="s">
        <x:v>45</x:v>
      </x:c>
      <x:c r="B56" s="8" t="s">
        <x:v>363</x:v>
      </x:c>
      <x:c r="C56" s="19"/>
      <x:c r="D56" s="19"/>
      <x:c r="E56" s="20" t="e">
        <x:f>-(Tabla2[[#This Row],[STOCK ACTUAL]]-Tabla2[[#This Row],[CONSUMO MENSUAL]]*1.15)</x:f>
        <x:v>#VALUE!</x:v>
      </x:c>
      <x:c r="F56" s="12"/>
      <x:c r="G56" s="11"/>
    </x:row>
    <x:row r="57" ht="15" customHeight="1">
      <x:c r="A57" s="8" t="s">
        <x:v>45</x:v>
      </x:c>
      <x:c r="B57" s="8" t="s">
        <x:v>364</x:v>
      </x:c>
      <x:c r="C57" s="19"/>
      <x:c r="D57" s="19"/>
      <x:c r="E57" s="20" t="e">
        <x:f>-(Tabla2[[#This Row],[STOCK ACTUAL]]-Tabla2[[#This Row],[CONSUMO MENSUAL]]*1.15)</x:f>
        <x:v>#VALUE!</x:v>
      </x:c>
      <x:c r="F57" s="12"/>
      <x:c r="G57" s="11"/>
    </x:row>
    <x:row r="58" ht="15" customHeight="1">
      <x:c r="A58" s="8" t="s">
        <x:v>365</x:v>
      </x:c>
      <x:c r="B58" s="8" t="s">
        <x:v>366</x:v>
      </x:c>
      <x:c r="C58" s="19"/>
      <x:c r="D58" s="19"/>
      <x:c r="E58" s="20" t="e">
        <x:f>-(Tabla2[[#This Row],[STOCK ACTUAL]]-Tabla2[[#This Row],[CONSUMO MENSUAL]]*1.15)</x:f>
        <x:v>#VALUE!</x:v>
      </x:c>
      <x:c r="F58" s="12"/>
      <x:c r="G58" s="11"/>
    </x:row>
    <x:row r="59" ht="15" customHeight="1">
      <x:c r="A59" s="8" t="s">
        <x:v>45</x:v>
      </x:c>
      <x:c r="B59" s="8" t="s">
        <x:v>367</x:v>
      </x:c>
      <x:c r="C59" s="19"/>
      <x:c r="D59" s="19"/>
      <x:c r="E59" s="20" t="e">
        <x:f>-(Tabla2[[#This Row],[STOCK ACTUAL]]-Tabla2[[#This Row],[CONSUMO MENSUAL]]*1.15)</x:f>
        <x:v>#VALUE!</x:v>
      </x:c>
      <x:c r="F59" s="12"/>
      <x:c r="G59" s="11"/>
    </x:row>
    <x:row r="60" ht="15" customHeight="1">
      <x:c r="A60" s="8" t="s">
        <x:v>45</x:v>
      </x:c>
      <x:c r="B60" s="8" t="s">
        <x:v>368</x:v>
      </x:c>
      <x:c r="C60" s="19"/>
      <x:c r="D60" s="19"/>
      <x:c r="E60" s="20" t="e">
        <x:f>-(Tabla2[[#This Row],[STOCK ACTUAL]]-Tabla2[[#This Row],[CONSUMO MENSUAL]]*1.15)</x:f>
        <x:v>#VALUE!</x:v>
      </x:c>
      <x:c r="F60" s="12"/>
      <x:c r="G60" s="11"/>
    </x:row>
    <x:row r="61" ht="15" customHeight="1">
      <x:c r="A61" s="8" t="s">
        <x:v>45</x:v>
      </x:c>
      <x:c r="B61" s="8" t="s">
        <x:v>369</x:v>
      </x:c>
      <x:c r="C61" s="19"/>
      <x:c r="D61" s="19"/>
      <x:c r="E61" s="20" t="e">
        <x:f>-(Tabla2[[#This Row],[STOCK ACTUAL]]-Tabla2[[#This Row],[CONSUMO MENSUAL]]*1.15)</x:f>
        <x:v>#VALUE!</x:v>
      </x:c>
      <x:c r="F61" s="12"/>
      <x:c r="G61" s="11"/>
    </x:row>
    <x:row r="62" ht="15" customHeight="1">
      <x:c r="A62" s="8" t="s">
        <x:v>45</x:v>
      </x:c>
      <x:c r="B62" s="8" t="s">
        <x:v>370</x:v>
      </x:c>
      <x:c r="C62" s="19"/>
      <x:c r="D62" s="19"/>
      <x:c r="E62" s="20" t="e">
        <x:f>-(Tabla2[[#This Row],[STOCK ACTUAL]]-Tabla2[[#This Row],[CONSUMO MENSUAL]]*1.15)</x:f>
        <x:v>#VALUE!</x:v>
      </x:c>
      <x:c r="F62" s="12"/>
      <x:c r="G62" s="11"/>
    </x:row>
    <x:row r="63" ht="15" customHeight="1">
      <x:c r="A63" s="8" t="s">
        <x:v>45</x:v>
      </x:c>
      <x:c r="B63" s="8" t="s">
        <x:v>371</x:v>
      </x:c>
      <x:c r="C63" s="19"/>
      <x:c r="D63" s="19"/>
      <x:c r="E63" s="20" t="e">
        <x:f>-(Tabla2[[#This Row],[STOCK ACTUAL]]-Tabla2[[#This Row],[CONSUMO MENSUAL]]*1.15)</x:f>
        <x:v>#VALUE!</x:v>
      </x:c>
      <x:c r="F63" s="12"/>
      <x:c r="G63" s="11"/>
    </x:row>
    <x:row r="64" ht="15" customHeight="1">
      <x:c r="A64" s="8" t="s">
        <x:v>45</x:v>
      </x:c>
      <x:c r="B64" s="8" t="s">
        <x:v>372</x:v>
      </x:c>
      <x:c r="C64" s="19"/>
      <x:c r="D64" s="19"/>
      <x:c r="E64" s="20" t="e">
        <x:f>-(Tabla2[[#This Row],[STOCK ACTUAL]]-Tabla2[[#This Row],[CONSUMO MENSUAL]]*1.15)</x:f>
        <x:v>#VALUE!</x:v>
      </x:c>
      <x:c r="F64" s="12"/>
      <x:c r="G64" s="11"/>
    </x:row>
    <x:row r="65" ht="15" customHeight="1">
      <x:c r="A65" s="8" t="s">
        <x:v>45</x:v>
      </x:c>
      <x:c r="B65" s="8" t="s">
        <x:v>373</x:v>
      </x:c>
      <x:c r="C65" s="19"/>
      <x:c r="D65" s="19"/>
      <x:c r="E65" s="20" t="e">
        <x:f>-(Tabla2[[#This Row],[STOCK ACTUAL]]-Tabla2[[#This Row],[CONSUMO MENSUAL]]*1.15)</x:f>
        <x:v>#VALUE!</x:v>
      </x:c>
      <x:c r="F65" s="12"/>
      <x:c r="G65" s="11"/>
    </x:row>
    <x:row r="66" ht="15" customHeight="1">
      <x:c r="A66" s="8" t="s">
        <x:v>45</x:v>
      </x:c>
      <x:c r="B66" s="8" t="s">
        <x:v>374</x:v>
      </x:c>
      <x:c r="C66" s="19"/>
      <x:c r="D66" s="19"/>
      <x:c r="E66" s="20" t="e">
        <x:f>-(Tabla2[[#This Row],[STOCK ACTUAL]]-Tabla2[[#This Row],[CONSUMO MENSUAL]]*1.15)</x:f>
        <x:v>#VALUE!</x:v>
      </x:c>
      <x:c r="F66" s="12"/>
      <x:c r="G66" s="11"/>
    </x:row>
    <x:row r="67" ht="15" customHeight="1">
      <x:c r="A67" s="8" t="s">
        <x:v>45</x:v>
      </x:c>
      <x:c r="B67" s="8" t="s">
        <x:v>375</x:v>
      </x:c>
      <x:c r="C67" s="19"/>
      <x:c r="D67" s="19"/>
      <x:c r="E67" s="20" t="e">
        <x:f>-(Tabla2[[#This Row],[STOCK ACTUAL]]-Tabla2[[#This Row],[CONSUMO MENSUAL]]*1.15)</x:f>
        <x:v>#VALUE!</x:v>
      </x:c>
      <x:c r="F67" s="12"/>
      <x:c r="G67" s="11"/>
    </x:row>
    <x:row r="68" ht="15" customHeight="1">
      <x:c r="A68" s="8" t="s">
        <x:v>45</x:v>
      </x:c>
      <x:c r="B68" s="8" t="s">
        <x:v>376</x:v>
      </x:c>
      <x:c r="C68" s="19"/>
      <x:c r="D68" s="19"/>
      <x:c r="E68" s="20" t="e">
        <x:f>-(Tabla2[[#This Row],[STOCK ACTUAL]]-Tabla2[[#This Row],[CONSUMO MENSUAL]]*1.15)</x:f>
        <x:v>#VALUE!</x:v>
      </x:c>
      <x:c r="F68" s="12"/>
      <x:c r="G68" s="11"/>
    </x:row>
    <x:row r="69" ht="15" customHeight="1">
      <x:c r="A69" s="8" t="s">
        <x:v>334</x:v>
      </x:c>
      <x:c r="B69" s="8" t="s">
        <x:v>377</x:v>
      </x:c>
      <x:c r="C69" s="19"/>
      <x:c r="D69" s="19"/>
      <x:c r="E69" s="20" t="e">
        <x:f>-(Tabla2[[#This Row],[STOCK ACTUAL]]-Tabla2[[#This Row],[CONSUMO MENSUAL]]*1.15)</x:f>
        <x:v>#VALUE!</x:v>
      </x:c>
      <x:c r="F69" s="12"/>
      <x:c r="G69" s="11"/>
    </x:row>
    <x:row r="70" ht="15" customHeight="1">
      <x:c r="A70" s="8" t="s">
        <x:v>18</x:v>
      </x:c>
      <x:c r="B70" s="8" t="s">
        <x:v>378</x:v>
      </x:c>
      <x:c r="C70" s="19"/>
      <x:c r="D70" s="19"/>
      <x:c r="E70" s="20" t="e">
        <x:f>-(Tabla2[[#This Row],[STOCK ACTUAL]]-Tabla2[[#This Row],[CONSUMO MENSUAL]]*1.15)</x:f>
        <x:v>#VALUE!</x:v>
      </x:c>
      <x:c r="F70" s="12"/>
      <x:c r="G70" s="11"/>
    </x:row>
    <x:row r="71" ht="15" customHeight="1">
      <x:c r="A71" s="8" t="s">
        <x:v>45</x:v>
      </x:c>
      <x:c r="B71" s="13" t="s">
        <x:v>379</x:v>
      </x:c>
      <x:c r="C71" s="19"/>
      <x:c r="D71" s="19"/>
      <x:c r="E71" s="20" t="e">
        <x:f>-(Tabla2[[#This Row],[STOCK ACTUAL]]-Tabla2[[#This Row],[CONSUMO MENSUAL]]*1.15)</x:f>
        <x:v>#VALUE!</x:v>
      </x:c>
      <x:c r="F71" s="12"/>
      <x:c r="G71" s="11"/>
    </x:row>
    <x:row r="72" ht="15" customHeight="1">
      <x:c r="A72" s="8" t="s">
        <x:v>36</x:v>
      </x:c>
      <x:c r="B72" s="8" t="s">
        <x:v>380</x:v>
      </x:c>
      <x:c r="C72" s="19"/>
      <x:c r="D72" s="19"/>
      <x:c r="E72" s="20" t="e">
        <x:f>-(Tabla2[[#This Row],[STOCK ACTUAL]]-Tabla2[[#This Row],[CONSUMO MENSUAL]]*1.15)</x:f>
        <x:v>#VALUE!</x:v>
      </x:c>
      <x:c r="F72" s="12"/>
      <x:c r="G72" s="11"/>
    </x:row>
    <x:row r="73" ht="15" customHeight="1">
      <x:c r="A73" s="8" t="s">
        <x:v>45</x:v>
      </x:c>
      <x:c r="B73" s="8" t="s">
        <x:v>381</x:v>
      </x:c>
      <x:c r="C73" s="19"/>
      <x:c r="D73" s="19"/>
      <x:c r="E73" s="20" t="e">
        <x:f>-(Tabla2[[#This Row],[STOCK ACTUAL]]-Tabla2[[#This Row],[CONSUMO MENSUAL]]*1.15)</x:f>
        <x:v>#VALUE!</x:v>
      </x:c>
      <x:c r="F73" s="12"/>
      <x:c r="G73" s="11"/>
    </x:row>
    <x:row r="74" ht="15" customHeight="1">
      <x:c r="A74" s="8" t="s">
        <x:v>45</x:v>
      </x:c>
      <x:c r="B74" s="8" t="s">
        <x:v>382</x:v>
      </x:c>
      <x:c r="C74" s="19"/>
      <x:c r="D74" s="19"/>
      <x:c r="E74" s="20" t="e">
        <x:f>-(Tabla2[[#This Row],[STOCK ACTUAL]]-Tabla2[[#This Row],[CONSUMO MENSUAL]]*1.15)</x:f>
        <x:v>#VALUE!</x:v>
      </x:c>
      <x:c r="F74" s="12"/>
      <x:c r="G74" s="11"/>
    </x:row>
    <x:row r="75" ht="15" customHeight="1">
      <x:c r="A75" s="8" t="s">
        <x:v>45</x:v>
      </x:c>
      <x:c r="B75" s="8" t="s">
        <x:v>383</x:v>
      </x:c>
      <x:c r="C75" s="19"/>
      <x:c r="D75" s="19"/>
      <x:c r="E75" s="20" t="e">
        <x:f>-(Tabla2[[#This Row],[STOCK ACTUAL]]-Tabla2[[#This Row],[CONSUMO MENSUAL]]*1.15)</x:f>
        <x:v>#VALUE!</x:v>
      </x:c>
      <x:c r="F75" s="12"/>
      <x:c r="G75" s="11"/>
    </x:row>
    <x:row r="76" ht="15" customHeight="1">
      <x:c r="A76" s="8" t="s">
        <x:v>45</x:v>
      </x:c>
      <x:c r="B76" s="8" t="s">
        <x:v>384</x:v>
      </x:c>
      <x:c r="C76" s="19"/>
      <x:c r="D76" s="19"/>
      <x:c r="E76" s="20" t="e">
        <x:f>-(Tabla2[[#This Row],[STOCK ACTUAL]]-Tabla2[[#This Row],[CONSUMO MENSUAL]]*1.15)</x:f>
        <x:v>#VALUE!</x:v>
      </x:c>
      <x:c r="F76" s="12"/>
      <x:c r="G76" s="11"/>
    </x:row>
    <x:row r="77" ht="15" customHeight="1">
      <x:c r="A77" s="8" t="s">
        <x:v>45</x:v>
      </x:c>
      <x:c r="B77" s="8" t="s">
        <x:v>385</x:v>
      </x:c>
      <x:c r="C77" s="19"/>
      <x:c r="D77" s="19"/>
      <x:c r="E77" s="20" t="e">
        <x:f>-(Tabla2[[#This Row],[STOCK ACTUAL]]-Tabla2[[#This Row],[CONSUMO MENSUAL]]*1.15)</x:f>
        <x:v>#VALUE!</x:v>
      </x:c>
      <x:c r="F77" s="12"/>
      <x:c r="G77" s="11"/>
    </x:row>
    <x:row r="78" ht="15" customHeight="1">
      <x:c r="A78" s="8" t="s">
        <x:v>45</x:v>
      </x:c>
      <x:c r="B78" s="8" t="s">
        <x:v>386</x:v>
      </x:c>
      <x:c r="C78" s="19"/>
      <x:c r="D78" s="19"/>
      <x:c r="E78" s="20" t="e">
        <x:f>-(Tabla2[[#This Row],[STOCK ACTUAL]]-Tabla2[[#This Row],[CONSUMO MENSUAL]]*1.15)</x:f>
        <x:v>#VALUE!</x:v>
      </x:c>
      <x:c r="F78" s="12"/>
      <x:c r="G78" s="11"/>
    </x:row>
    <x:row r="79" ht="15" customHeight="1">
      <x:c r="A79" s="8" t="s">
        <x:v>32</x:v>
      </x:c>
      <x:c r="B79" s="8" t="s">
        <x:v>387</x:v>
      </x:c>
      <x:c r="C79" s="19"/>
      <x:c r="D79" s="19"/>
      <x:c r="E79" s="20" t="e">
        <x:f>-(Tabla2[[#This Row],[STOCK ACTUAL]]-Tabla2[[#This Row],[CONSUMO MENSUAL]]*1.15)</x:f>
        <x:v>#VALUE!</x:v>
      </x:c>
      <x:c r="F79" s="12"/>
      <x:c r="G79" s="11"/>
    </x:row>
    <x:row r="80" ht="15" customHeight="1">
      <x:c r="A80" s="8" t="s">
        <x:v>45</x:v>
      </x:c>
      <x:c r="B80" s="8" t="s">
        <x:v>388</x:v>
      </x:c>
      <x:c r="C80" s="19"/>
      <x:c r="D80" s="19"/>
      <x:c r="E80" s="20" t="e">
        <x:f>-(Tabla2[[#This Row],[STOCK ACTUAL]]-Tabla2[[#This Row],[CONSUMO MENSUAL]]*1.15)</x:f>
        <x:v>#VALUE!</x:v>
      </x:c>
      <x:c r="F80" s="12"/>
      <x:c r="G80" s="11"/>
    </x:row>
    <x:row r="81" ht="15" customHeight="1">
      <x:c r="A81" s="8" t="s">
        <x:v>45</x:v>
      </x:c>
      <x:c r="B81" s="8" t="s">
        <x:v>389</x:v>
      </x:c>
      <x:c r="C81" s="19"/>
      <x:c r="D81" s="19"/>
      <x:c r="E81" s="20" t="e">
        <x:f>-(Tabla2[[#This Row],[STOCK ACTUAL]]-Tabla2[[#This Row],[CONSUMO MENSUAL]]*1.15)</x:f>
        <x:v>#VALUE!</x:v>
      </x:c>
      <x:c r="F81" s="12"/>
      <x:c r="G81" s="11"/>
    </x:row>
    <x:row r="82" ht="15" customHeight="1">
      <x:c r="A82" s="8" t="s">
        <x:v>45</x:v>
      </x:c>
      <x:c r="B82" s="8" t="s">
        <x:v>390</x:v>
      </x:c>
      <x:c r="C82" s="19"/>
      <x:c r="D82" s="19"/>
      <x:c r="E82" s="20" t="e">
        <x:f>-(Tabla2[[#This Row],[STOCK ACTUAL]]-Tabla2[[#This Row],[CONSUMO MENSUAL]]*1.15)</x:f>
        <x:v>#VALUE!</x:v>
      </x:c>
      <x:c r="F82" s="12"/>
      <x:c r="G82" s="11"/>
    </x:row>
    <x:row r="83" ht="15" customHeight="1">
      <x:c r="A83" s="8" t="s">
        <x:v>45</x:v>
      </x:c>
      <x:c r="B83" s="8" t="s">
        <x:v>391</x:v>
      </x:c>
      <x:c r="C83" s="19"/>
      <x:c r="D83" s="19"/>
      <x:c r="E83" s="20" t="e">
        <x:f>-(Tabla2[[#This Row],[STOCK ACTUAL]]-Tabla2[[#This Row],[CONSUMO MENSUAL]]*1.15)</x:f>
        <x:v>#VALUE!</x:v>
      </x:c>
      <x:c r="F83" s="12"/>
      <x:c r="G83" s="11"/>
    </x:row>
    <x:row r="84" ht="15" customHeight="1">
      <x:c r="A84" s="8" t="s">
        <x:v>45</x:v>
      </x:c>
      <x:c r="B84" s="8" t="s">
        <x:v>392</x:v>
      </x:c>
      <x:c r="C84" s="19"/>
      <x:c r="D84" s="19"/>
      <x:c r="E84" s="20" t="e">
        <x:f>-(Tabla2[[#This Row],[STOCK ACTUAL]]-Tabla2[[#This Row],[CONSUMO MENSUAL]]*1.15)</x:f>
        <x:v>#VALUE!</x:v>
      </x:c>
      <x:c r="F84" s="12"/>
      <x:c r="G84" s="11"/>
    </x:row>
    <x:row r="85" ht="15" customHeight="1">
      <x:c r="A85" s="8" t="s">
        <x:v>45</x:v>
      </x:c>
      <x:c r="B85" s="8" t="s">
        <x:v>393</x:v>
      </x:c>
      <x:c r="C85" s="19"/>
      <x:c r="D85" s="19"/>
      <x:c r="E85" s="20" t="e">
        <x:f>-(Tabla2[[#This Row],[STOCK ACTUAL]]-Tabla2[[#This Row],[CONSUMO MENSUAL]]*1.15)</x:f>
        <x:v>#VALUE!</x:v>
      </x:c>
      <x:c r="F85" s="12"/>
      <x:c r="G85" s="11"/>
    </x:row>
    <x:row r="86" ht="15" customHeight="1">
      <x:c r="A86" s="8" t="s">
        <x:v>32</x:v>
      </x:c>
      <x:c r="B86" s="8" t="s">
        <x:v>394</x:v>
      </x:c>
      <x:c r="C86" s="19"/>
      <x:c r="D86" s="19"/>
      <x:c r="E86" s="20" t="e">
        <x:f>-(Tabla2[[#This Row],[STOCK ACTUAL]]-Tabla2[[#This Row],[CONSUMO MENSUAL]]*1.15)</x:f>
        <x:v>#VALUE!</x:v>
      </x:c>
      <x:c r="F86" s="12"/>
      <x:c r="G86" s="11"/>
    </x:row>
    <x:row r="87" ht="15" customHeight="1">
      <x:c r="A87" s="8" t="s">
        <x:v>45</x:v>
      </x:c>
      <x:c r="B87" s="8" t="s">
        <x:v>395</x:v>
      </x:c>
      <x:c r="C87" s="19"/>
      <x:c r="D87" s="19"/>
      <x:c r="E87" s="20" t="e">
        <x:f>-(Tabla2[[#This Row],[STOCK ACTUAL]]-Tabla2[[#This Row],[CONSUMO MENSUAL]]*1.15)</x:f>
        <x:v>#VALUE!</x:v>
      </x:c>
      <x:c r="F87" s="12"/>
      <x:c r="G87" s="11"/>
    </x:row>
    <x:row r="88" ht="15" customHeight="1">
      <x:c r="A88" s="8" t="s">
        <x:v>315</x:v>
      </x:c>
      <x:c r="B88" s="8" t="s">
        <x:v>396</x:v>
      </x:c>
      <x:c r="C88" s="19"/>
      <x:c r="D88" s="19"/>
      <x:c r="E88" s="20" t="e">
        <x:f>-(Tabla2[[#This Row],[STOCK ACTUAL]]-Tabla2[[#This Row],[CONSUMO MENSUAL]]*1.15)</x:f>
        <x:v>#VALUE!</x:v>
      </x:c>
      <x:c r="F88" s="12"/>
      <x:c r="G88" s="11"/>
    </x:row>
    <x:row r="89" ht="15" customHeight="1">
      <x:c r="A89" s="8" t="s">
        <x:v>315</x:v>
      </x:c>
      <x:c r="B89" s="8" t="s">
        <x:v>397</x:v>
      </x:c>
      <x:c r="C89" s="19"/>
      <x:c r="D89" s="19"/>
      <x:c r="E89" s="20" t="e">
        <x:f>-(Tabla2[[#This Row],[STOCK ACTUAL]]-Tabla2[[#This Row],[CONSUMO MENSUAL]]*1.15)</x:f>
        <x:v>#VALUE!</x:v>
      </x:c>
      <x:c r="F89" s="12"/>
      <x:c r="G89" s="11"/>
    </x:row>
    <x:row r="90" ht="15" customHeight="1">
      <x:c r="A90" s="8" t="s">
        <x:v>315</x:v>
      </x:c>
      <x:c r="B90" s="8" t="s">
        <x:v>398</x:v>
      </x:c>
      <x:c r="C90" s="19"/>
      <x:c r="D90" s="19"/>
      <x:c r="E90" s="20" t="e">
        <x:f>-(Tabla2[[#This Row],[STOCK ACTUAL]]-Tabla2[[#This Row],[CONSUMO MENSUAL]]*1.15)</x:f>
        <x:v>#VALUE!</x:v>
      </x:c>
      <x:c r="F90" s="12"/>
      <x:c r="G90" s="11"/>
    </x:row>
    <x:row r="91" ht="15" customHeight="1">
      <x:c r="A91" s="8" t="s">
        <x:v>315</x:v>
      </x:c>
      <x:c r="B91" s="8" t="s">
        <x:v>399</x:v>
      </x:c>
      <x:c r="C91" s="19"/>
      <x:c r="D91" s="19"/>
      <x:c r="E91" s="20" t="e">
        <x:f>-(Tabla2[[#This Row],[STOCK ACTUAL]]-Tabla2[[#This Row],[CONSUMO MENSUAL]]*1.15)</x:f>
        <x:v>#VALUE!</x:v>
      </x:c>
      <x:c r="F91" s="12"/>
      <x:c r="G91" s="11"/>
    </x:row>
    <x:row r="92" ht="15" customHeight="1">
      <x:c r="A92" s="8" t="s">
        <x:v>315</x:v>
      </x:c>
      <x:c r="B92" s="8" t="s">
        <x:v>400</x:v>
      </x:c>
      <x:c r="C92" s="19"/>
      <x:c r="D92" s="19"/>
      <x:c r="E92" s="20" t="e">
        <x:f>-(Tabla2[[#This Row],[STOCK ACTUAL]]-Tabla2[[#This Row],[CONSUMO MENSUAL]]*1.15)</x:f>
        <x:v>#VALUE!</x:v>
      </x:c>
      <x:c r="F92" s="12"/>
      <x:c r="G92" s="11"/>
    </x:row>
    <x:row r="93" ht="15" customHeight="1">
      <x:c r="A93" s="8" t="s">
        <x:v>315</x:v>
      </x:c>
      <x:c r="B93" s="8" t="s">
        <x:v>401</x:v>
      </x:c>
      <x:c r="C93" s="19"/>
      <x:c r="D93" s="19"/>
      <x:c r="E93" s="20" t="e">
        <x:f>-(Tabla2[[#This Row],[STOCK ACTUAL]]-Tabla2[[#This Row],[CONSUMO MENSUAL]]*1.15)</x:f>
        <x:v>#VALUE!</x:v>
      </x:c>
      <x:c r="F93" s="12"/>
      <x:c r="G93" s="11"/>
    </x:row>
    <x:row r="94" ht="15" customHeight="1">
      <x:c r="A94" s="8" t="s">
        <x:v>45</x:v>
      </x:c>
      <x:c r="B94" s="8" t="s">
        <x:v>402</x:v>
      </x:c>
      <x:c r="C94" s="19"/>
      <x:c r="D94" s="19"/>
      <x:c r="E94" s="20" t="e">
        <x:f>-(Tabla2[[#This Row],[STOCK ACTUAL]]-Tabla2[[#This Row],[CONSUMO MENSUAL]]*1.15)</x:f>
        <x:v>#VALUE!</x:v>
      </x:c>
      <x:c r="F94" s="12"/>
      <x:c r="G94" s="11"/>
    </x:row>
    <x:row r="95" ht="15" customHeight="1">
      <x:c r="A95" s="8" t="s">
        <x:v>45</x:v>
      </x:c>
      <x:c r="B95" s="8" t="s">
        <x:v>403</x:v>
      </x:c>
      <x:c r="C95" s="19"/>
      <x:c r="D95" s="19"/>
      <x:c r="E95" s="20" t="e">
        <x:f>-(Tabla2[[#This Row],[STOCK ACTUAL]]-Tabla2[[#This Row],[CONSUMO MENSUAL]]*1.15)</x:f>
        <x:v>#VALUE!</x:v>
      </x:c>
      <x:c r="F95" s="12"/>
      <x:c r="G95" s="11"/>
    </x:row>
    <x:row r="96" ht="15" customHeight="1">
      <x:c r="A96" s="8" t="s">
        <x:v>45</x:v>
      </x:c>
      <x:c r="B96" s="22" t="s">
        <x:v>404</x:v>
      </x:c>
      <x:c r="C96" s="19"/>
      <x:c r="D96" s="19"/>
      <x:c r="E96" s="20" t="e">
        <x:f>-(Tabla2[[#This Row],[STOCK ACTUAL]]-Tabla2[[#This Row],[CONSUMO MENSUAL]]*1.15)</x:f>
        <x:v>#VALUE!</x:v>
      </x:c>
      <x:c r="F96" s="12"/>
      <x:c r="G96" s="11"/>
    </x:row>
    <x:row r="97" ht="15" customHeight="1">
      <x:c r="A97" s="8" t="s">
        <x:v>45</x:v>
      </x:c>
      <x:c r="B97" s="8" t="s">
        <x:v>405</x:v>
      </x:c>
      <x:c r="C97" s="19"/>
      <x:c r="D97" s="19"/>
      <x:c r="E97" s="20" t="e">
        <x:f>-(Tabla2[[#This Row],[STOCK ACTUAL]]-Tabla2[[#This Row],[CONSUMO MENSUAL]]*1.15)</x:f>
        <x:v>#VALUE!</x:v>
      </x:c>
      <x:c r="F97" s="12"/>
      <x:c r="G97" s="11"/>
    </x:row>
    <x:row r="98" ht="15" customHeight="1">
      <x:c r="A98" s="8" t="s">
        <x:v>315</x:v>
      </x:c>
      <x:c r="B98" s="8" t="s">
        <x:v>406</x:v>
      </x:c>
      <x:c r="C98" s="19"/>
      <x:c r="D98" s="19"/>
      <x:c r="E98" s="20" t="e">
        <x:f>-(Tabla2[[#This Row],[STOCK ACTUAL]]-Tabla2[[#This Row],[CONSUMO MENSUAL]]*1.15)</x:f>
        <x:v>#VALUE!</x:v>
      </x:c>
      <x:c r="F98" s="12"/>
      <x:c r="G98" s="11"/>
    </x:row>
    <x:row r="99" ht="15" customHeight="1">
      <x:c r="A99" s="8" t="s">
        <x:v>315</x:v>
      </x:c>
      <x:c r="B99" s="8" t="s">
        <x:v>407</x:v>
      </x:c>
      <x:c r="C99" s="19"/>
      <x:c r="D99" s="19"/>
      <x:c r="E99" s="20" t="e">
        <x:f>-(Tabla2[[#This Row],[STOCK ACTUAL]]-Tabla2[[#This Row],[CONSUMO MENSUAL]]*1.15)</x:f>
        <x:v>#VALUE!</x:v>
      </x:c>
      <x:c r="F99" s="12"/>
      <x:c r="G99" s="11"/>
    </x:row>
    <x:row r="100" ht="15" customHeight="1">
      <x:c r="A100" s="8" t="s">
        <x:v>45</x:v>
      </x:c>
      <x:c r="B100" s="8" t="s">
        <x:v>408</x:v>
      </x:c>
      <x:c r="C100" s="19"/>
      <x:c r="D100" s="19"/>
      <x:c r="E100" s="20" t="e">
        <x:f>-(Tabla2[[#This Row],[STOCK ACTUAL]]-Tabla2[[#This Row],[CONSUMO MENSUAL]]*1.15)</x:f>
        <x:v>#VALUE!</x:v>
      </x:c>
      <x:c r="F100" s="12"/>
      <x:c r="G100" s="11"/>
    </x:row>
    <x:row r="101" ht="15" customHeight="1">
      <x:c r="A101" s="8" t="s">
        <x:v>409</x:v>
      </x:c>
      <x:c r="B101" s="8" t="s">
        <x:v>410</x:v>
      </x:c>
      <x:c r="C101" s="19"/>
      <x:c r="D101" s="19"/>
      <x:c r="E101" s="20" t="e">
        <x:f>-(Tabla2[[#This Row],[STOCK ACTUAL]]-Tabla2[[#This Row],[CONSUMO MENSUAL]]*1.15)</x:f>
        <x:v>#VALUE!</x:v>
      </x:c>
      <x:c r="F101" s="12"/>
      <x:c r="G101" s="11"/>
    </x:row>
    <x:row r="102" ht="15" customHeight="1">
      <x:c r="A102" s="8" t="s">
        <x:v>45</x:v>
      </x:c>
      <x:c r="B102" s="8" t="s">
        <x:v>411</x:v>
      </x:c>
      <x:c r="C102" s="19"/>
      <x:c r="D102" s="19"/>
      <x:c r="E102" s="20" t="e">
        <x:f>-(Tabla2[[#This Row],[STOCK ACTUAL]]-Tabla2[[#This Row],[CONSUMO MENSUAL]]*1.15)</x:f>
        <x:v>#VALUE!</x:v>
      </x:c>
      <x:c r="F102" s="12"/>
      <x:c r="G102" s="11"/>
    </x:row>
    <x:row r="103" ht="15" customHeight="1">
      <x:c r="A103" s="8" t="s">
        <x:v>45</x:v>
      </x:c>
      <x:c r="B103" s="8" t="s">
        <x:v>412</x:v>
      </x:c>
      <x:c r="C103" s="19"/>
      <x:c r="D103" s="19"/>
      <x:c r="E103" s="20" t="e">
        <x:f>-(Tabla2[[#This Row],[STOCK ACTUAL]]-Tabla2[[#This Row],[CONSUMO MENSUAL]]*1.15)</x:f>
        <x:v>#VALUE!</x:v>
      </x:c>
      <x:c r="F103" s="12"/>
      <x:c r="G103" s="11"/>
    </x:row>
    <x:row r="104" ht="15" customHeight="1">
      <x:c r="A104" s="8" t="s">
        <x:v>45</x:v>
      </x:c>
      <x:c r="B104" s="8" t="s">
        <x:v>413</x:v>
      </x:c>
      <x:c r="C104" s="19"/>
      <x:c r="D104" s="19"/>
      <x:c r="E104" s="20" t="e">
        <x:f>-(Tabla2[[#This Row],[STOCK ACTUAL]]-Tabla2[[#This Row],[CONSUMO MENSUAL]]*1.15)</x:f>
        <x:v>#VALUE!</x:v>
      </x:c>
      <x:c r="F104" s="12"/>
      <x:c r="G104" s="11"/>
    </x:row>
    <x:row r="105" ht="15" customHeight="1">
      <x:c r="A105" s="8" t="s">
        <x:v>45</x:v>
      </x:c>
      <x:c r="B105" s="8" t="s">
        <x:v>414</x:v>
      </x:c>
      <x:c r="C105" s="19"/>
      <x:c r="D105" s="19"/>
      <x:c r="E105" s="20" t="e">
        <x:f>-(Tabla2[[#This Row],[STOCK ACTUAL]]-Tabla2[[#This Row],[CONSUMO MENSUAL]]*1.15)</x:f>
        <x:v>#VALUE!</x:v>
      </x:c>
      <x:c r="F105" s="12"/>
      <x:c r="G105" s="11"/>
    </x:row>
    <x:row r="106" ht="15" customHeight="1">
      <x:c r="A106" s="8" t="s">
        <x:v>334</x:v>
      </x:c>
      <x:c r="B106" s="8" t="s">
        <x:v>415</x:v>
      </x:c>
      <x:c r="C106" s="19"/>
      <x:c r="D106" s="19"/>
      <x:c r="E106" s="20" t="e">
        <x:f>-(Tabla2[[#This Row],[STOCK ACTUAL]]-Tabla2[[#This Row],[CONSUMO MENSUAL]]*1.15)</x:f>
        <x:v>#VALUE!</x:v>
      </x:c>
      <x:c r="F106" s="12"/>
      <x:c r="G106" s="11"/>
    </x:row>
    <x:row r="107" ht="15" customHeight="1">
      <x:c r="A107" s="8" t="s">
        <x:v>45</x:v>
      </x:c>
      <x:c r="B107" s="8" t="s">
        <x:v>416</x:v>
      </x:c>
      <x:c r="C107" s="19"/>
      <x:c r="D107" s="19"/>
      <x:c r="E107" s="20" t="e">
        <x:f>-(Tabla2[[#This Row],[STOCK ACTUAL]]-Tabla2[[#This Row],[CONSUMO MENSUAL]]*1.15)</x:f>
        <x:v>#VALUE!</x:v>
      </x:c>
      <x:c r="F107" s="12"/>
      <x:c r="G107" s="11"/>
    </x:row>
    <x:row r="108" ht="15" customHeight="1">
      <x:c r="A108" s="8" t="s">
        <x:v>45</x:v>
      </x:c>
      <x:c r="B108" s="8" t="s">
        <x:v>417</x:v>
      </x:c>
      <x:c r="C108" s="19"/>
      <x:c r="D108" s="19"/>
      <x:c r="E108" s="20" t="e">
        <x:f>-(Tabla2[[#This Row],[STOCK ACTUAL]]-Tabla2[[#This Row],[CONSUMO MENSUAL]]*1.15)</x:f>
        <x:v>#VALUE!</x:v>
      </x:c>
      <x:c r="F108" s="12"/>
      <x:c r="G108" s="11"/>
    </x:row>
    <x:row r="109" ht="15" customHeight="1">
      <x:c r="A109" s="8" t="s">
        <x:v>45</x:v>
      </x:c>
      <x:c r="B109" s="22" t="s">
        <x:v>418</x:v>
      </x:c>
      <x:c r="C109" s="19"/>
      <x:c r="D109" s="19"/>
      <x:c r="E109" s="20" t="e">
        <x:f>-(Tabla2[[#This Row],[STOCK ACTUAL]]-Tabla2[[#This Row],[CONSUMO MENSUAL]]*1.15)</x:f>
        <x:v>#VALUE!</x:v>
      </x:c>
      <x:c r="F109" s="12"/>
      <x:c r="G109" s="11"/>
    </x:row>
    <x:row r="110" ht="15" customHeight="1">
      <x:c r="A110" s="8" t="s">
        <x:v>45</x:v>
      </x:c>
      <x:c r="B110" s="8" t="s">
        <x:v>419</x:v>
      </x:c>
      <x:c r="C110" s="19"/>
      <x:c r="D110" s="19"/>
      <x:c r="E110" s="20" t="e">
        <x:f>-(Tabla2[[#This Row],[STOCK ACTUAL]]-Tabla2[[#This Row],[CONSUMO MENSUAL]]*1.15)</x:f>
        <x:v>#VALUE!</x:v>
      </x:c>
      <x:c r="F110" s="12"/>
      <x:c r="G110" s="11"/>
    </x:row>
    <x:row r="111" ht="15" customHeight="1">
      <x:c r="A111" s="8" t="s">
        <x:v>334</x:v>
      </x:c>
      <x:c r="B111" s="14" t="s">
        <x:v>420</x:v>
      </x:c>
      <x:c r="C111" s="19"/>
      <x:c r="D111" s="19"/>
      <x:c r="E111" s="20" t="e">
        <x:f>-(Tabla2[[#This Row],[STOCK ACTUAL]]-Tabla2[[#This Row],[CONSUMO MENSUAL]]*1.15)</x:f>
        <x:v>#VALUE!</x:v>
      </x:c>
      <x:c r="F111" s="12"/>
      <x:c r="G111" s="11"/>
    </x:row>
    <x:row r="112" ht="15" customHeight="1">
      <x:c r="A112" s="8" t="s">
        <x:v>315</x:v>
      </x:c>
      <x:c r="B112" s="8" t="s">
        <x:v>421</x:v>
      </x:c>
      <x:c r="C112" s="19"/>
      <x:c r="D112" s="19"/>
      <x:c r="E112" s="20" t="e">
        <x:f>-(Tabla2[[#This Row],[STOCK ACTUAL]]-Tabla2[[#This Row],[CONSUMO MENSUAL]]*1.15)</x:f>
        <x:v>#VALUE!</x:v>
      </x:c>
      <x:c r="F112" s="12"/>
      <x:c r="G112" s="11"/>
    </x:row>
    <x:row r="113" ht="15" customHeight="1">
      <x:c r="A113" s="8" t="s">
        <x:v>45</x:v>
      </x:c>
      <x:c r="B113" s="8" t="s">
        <x:v>422</x:v>
      </x:c>
      <x:c r="C113" s="19"/>
      <x:c r="D113" s="19"/>
      <x:c r="E113" s="20" t="e">
        <x:f>-(Tabla2[[#This Row],[STOCK ACTUAL]]-Tabla2[[#This Row],[CONSUMO MENSUAL]]*1.15)</x:f>
        <x:v>#VALUE!</x:v>
      </x:c>
      <x:c r="F113" s="12"/>
      <x:c r="G113" s="11"/>
    </x:row>
    <x:row r="114" ht="15" customHeight="1">
      <x:c r="A114" s="8" t="s">
        <x:v>45</x:v>
      </x:c>
      <x:c r="B114" s="8" t="s">
        <x:v>423</x:v>
      </x:c>
      <x:c r="C114" s="19"/>
      <x:c r="D114" s="19"/>
      <x:c r="E114" s="20" t="e">
        <x:f>-(Tabla2[[#This Row],[STOCK ACTUAL]]-Tabla2[[#This Row],[CONSUMO MENSUAL]]*1.15)</x:f>
        <x:v>#VALUE!</x:v>
      </x:c>
      <x:c r="F114" s="12"/>
      <x:c r="G114" s="11"/>
    </x:row>
    <x:row r="115" ht="15" customHeight="1">
      <x:c r="A115" s="8" t="s">
        <x:v>45</x:v>
      </x:c>
      <x:c r="B115" s="8" t="s">
        <x:v>424</x:v>
      </x:c>
      <x:c r="C115" s="19"/>
      <x:c r="D115" s="19"/>
      <x:c r="E115" s="20" t="e">
        <x:f>-(Tabla2[[#This Row],[STOCK ACTUAL]]-Tabla2[[#This Row],[CONSUMO MENSUAL]]*1.15)</x:f>
        <x:v>#VALUE!</x:v>
      </x:c>
      <x:c r="F115" s="12"/>
      <x:c r="G115" s="11"/>
    </x:row>
    <x:row r="116" ht="15" customHeight="1">
      <x:c r="A116" s="8" t="s">
        <x:v>45</x:v>
      </x:c>
      <x:c r="B116" s="8" t="s">
        <x:v>425</x:v>
      </x:c>
      <x:c r="C116" s="19"/>
      <x:c r="D116" s="19"/>
      <x:c r="E116" s="20" t="e">
        <x:f>-(Tabla2[[#This Row],[STOCK ACTUAL]]-Tabla2[[#This Row],[CONSUMO MENSUAL]]*1.15)</x:f>
        <x:v>#VALUE!</x:v>
      </x:c>
      <x:c r="F116" s="12"/>
      <x:c r="G116" s="11"/>
    </x:row>
    <x:row r="117" ht="15" customHeight="1">
      <x:c r="A117" s="8" t="s">
        <x:v>334</x:v>
      </x:c>
      <x:c r="B117" s="8" t="s">
        <x:v>426</x:v>
      </x:c>
      <x:c r="C117" s="19"/>
      <x:c r="D117" s="19"/>
      <x:c r="E117" s="20" t="e">
        <x:f>-(Tabla2[[#This Row],[STOCK ACTUAL]]-Tabla2[[#This Row],[CONSUMO MENSUAL]]*1.15)</x:f>
        <x:v>#VALUE!</x:v>
      </x:c>
      <x:c r="F117" s="12"/>
      <x:c r="G117" s="11"/>
    </x:row>
    <x:row r="118" ht="15" customHeight="1">
      <x:c r="A118" s="8" t="s">
        <x:v>45</x:v>
      </x:c>
      <x:c r="B118" s="8" t="s">
        <x:v>158</x:v>
      </x:c>
      <x:c r="C118" s="19"/>
      <x:c r="D118" s="19"/>
      <x:c r="E118" s="20" t="e">
        <x:f>-(Tabla2[[#This Row],[STOCK ACTUAL]]-Tabla2[[#This Row],[CONSUMO MENSUAL]]*1.15)</x:f>
        <x:v>#VALUE!</x:v>
      </x:c>
      <x:c r="F118" s="12"/>
      <x:c r="G118" s="11"/>
    </x:row>
    <x:row r="119" ht="15" customHeight="1">
      <x:c r="A119" s="8" t="s">
        <x:v>45</x:v>
      </x:c>
      <x:c r="B119" s="14" t="s">
        <x:v>427</x:v>
      </x:c>
      <x:c r="C119" s="19"/>
      <x:c r="D119" s="19"/>
      <x:c r="E119" s="20" t="e">
        <x:f>-(Tabla2[[#This Row],[STOCK ACTUAL]]-Tabla2[[#This Row],[CONSUMO MENSUAL]]*1.15)</x:f>
        <x:v>#VALUE!</x:v>
      </x:c>
      <x:c r="F119" s="12"/>
      <x:c r="G119" s="11"/>
    </x:row>
    <x:row r="120" ht="15" customHeight="1">
      <x:c r="A120" s="8" t="s">
        <x:v>45</x:v>
      </x:c>
      <x:c r="B120" s="14" t="s">
        <x:v>428</x:v>
      </x:c>
      <x:c r="C120" s="19"/>
      <x:c r="D120" s="19"/>
      <x:c r="E120" s="20" t="e">
        <x:f>-(Tabla2[[#This Row],[STOCK ACTUAL]]-Tabla2[[#This Row],[CONSUMO MENSUAL]]*1.15)</x:f>
        <x:v>#VALUE!</x:v>
      </x:c>
      <x:c r="F120" s="12"/>
      <x:c r="G120" s="11"/>
    </x:row>
    <x:row r="121" ht="15" customHeight="1">
      <x:c r="A121" s="8" t="s">
        <x:v>45</x:v>
      </x:c>
      <x:c r="B121" s="8" t="s">
        <x:v>429</x:v>
      </x:c>
      <x:c r="C121" s="19"/>
      <x:c r="D121" s="19"/>
      <x:c r="E121" s="20" t="e">
        <x:f>-(Tabla2[[#This Row],[STOCK ACTUAL]]-Tabla2[[#This Row],[CONSUMO MENSUAL]]*1.15)</x:f>
        <x:v>#VALUE!</x:v>
      </x:c>
      <x:c r="F121" s="12"/>
      <x:c r="G121" s="11"/>
    </x:row>
    <x:row r="122" ht="15" customHeight="1">
      <x:c r="A122" s="8" t="s">
        <x:v>45</x:v>
      </x:c>
      <x:c r="B122" s="8" t="s">
        <x:v>430</x:v>
      </x:c>
      <x:c r="C122" s="19"/>
      <x:c r="D122" s="19"/>
      <x:c r="E122" s="20" t="e">
        <x:f>-(Tabla2[[#This Row],[STOCK ACTUAL]]-Tabla2[[#This Row],[CONSUMO MENSUAL]]*1.15)</x:f>
        <x:v>#VALUE!</x:v>
      </x:c>
      <x:c r="F122" s="12"/>
      <x:c r="G122" s="11"/>
    </x:row>
    <x:row r="123" ht="15" customHeight="1">
      <x:c r="A123" s="8" t="s">
        <x:v>45</x:v>
      </x:c>
      <x:c r="B123" s="8" t="s">
        <x:v>431</x:v>
      </x:c>
      <x:c r="C123" s="19"/>
      <x:c r="D123" s="19"/>
      <x:c r="E123" s="20" t="e">
        <x:f>-(Tabla2[[#This Row],[STOCK ACTUAL]]-Tabla2[[#This Row],[CONSUMO MENSUAL]]*1.15)</x:f>
        <x:v>#VALUE!</x:v>
      </x:c>
      <x:c r="F123" s="12"/>
      <x:c r="G123" s="11"/>
    </x:row>
    <x:row r="124" ht="15" customHeight="1">
      <x:c r="A124" s="8" t="s">
        <x:v>45</x:v>
      </x:c>
      <x:c r="B124" s="8" t="s">
        <x:v>432</x:v>
      </x:c>
      <x:c r="C124" s="19"/>
      <x:c r="D124" s="19"/>
      <x:c r="E124" s="20" t="e">
        <x:f>-(Tabla2[[#This Row],[STOCK ACTUAL]]-Tabla2[[#This Row],[CONSUMO MENSUAL]]*1.15)</x:f>
        <x:v>#VALUE!</x:v>
      </x:c>
      <x:c r="F124" s="12"/>
      <x:c r="G124" s="11"/>
    </x:row>
    <x:row r="125" ht="15" customHeight="1">
      <x:c r="A125" s="8" t="s">
        <x:v>45</x:v>
      </x:c>
      <x:c r="B125" s="8" t="s">
        <x:v>433</x:v>
      </x:c>
      <x:c r="C125" s="19"/>
      <x:c r="D125" s="19"/>
      <x:c r="E125" s="20" t="e">
        <x:f>-(Tabla2[[#This Row],[STOCK ACTUAL]]-Tabla2[[#This Row],[CONSUMO MENSUAL]]*1.15)</x:f>
        <x:v>#VALUE!</x:v>
      </x:c>
      <x:c r="F125" s="12"/>
      <x:c r="G125" s="11"/>
    </x:row>
    <x:row r="126" ht="15" customHeight="1">
      <x:c r="A126" s="8" t="s">
        <x:v>45</x:v>
      </x:c>
      <x:c r="B126" s="8" t="s">
        <x:v>434</x:v>
      </x:c>
      <x:c r="C126" s="19"/>
      <x:c r="D126" s="19"/>
      <x:c r="E126" s="20" t="e">
        <x:f>-(Tabla2[[#This Row],[STOCK ACTUAL]]-Tabla2[[#This Row],[CONSUMO MENSUAL]]*1.15)</x:f>
        <x:v>#VALUE!</x:v>
      </x:c>
      <x:c r="F126" s="12"/>
      <x:c r="G126" s="11"/>
    </x:row>
    <x:row r="127" ht="15" customHeight="1">
      <x:c r="A127" s="8" t="s">
        <x:v>45</x:v>
      </x:c>
      <x:c r="B127" s="8" t="s">
        <x:v>435</x:v>
      </x:c>
      <x:c r="C127" s="19"/>
      <x:c r="D127" s="19"/>
      <x:c r="E127" s="20" t="e">
        <x:f>-(Tabla2[[#This Row],[STOCK ACTUAL]]-Tabla2[[#This Row],[CONSUMO MENSUAL]]*1.15)</x:f>
        <x:v>#VALUE!</x:v>
      </x:c>
      <x:c r="F127" s="12"/>
      <x:c r="G127" s="11"/>
    </x:row>
    <x:row r="128" ht="15" customHeight="1">
      <x:c r="A128" s="8" t="s">
        <x:v>45</x:v>
      </x:c>
      <x:c r="B128" s="8" t="s">
        <x:v>436</x:v>
      </x:c>
      <x:c r="C128" s="19"/>
      <x:c r="D128" s="19"/>
      <x:c r="E128" s="20" t="e">
        <x:f>-(Tabla2[[#This Row],[STOCK ACTUAL]]-Tabla2[[#This Row],[CONSUMO MENSUAL]]*1.15)</x:f>
        <x:v>#VALUE!</x:v>
      </x:c>
      <x:c r="F128" s="12"/>
      <x:c r="G128" s="11"/>
    </x:row>
    <x:row r="129" ht="15" customHeight="1">
      <x:c r="A129" s="8" t="s">
        <x:v>45</x:v>
      </x:c>
      <x:c r="B129" s="8" t="s">
        <x:v>437</x:v>
      </x:c>
      <x:c r="C129" s="19"/>
      <x:c r="D129" s="19"/>
      <x:c r="E129" s="20" t="e">
        <x:f>-(Tabla2[[#This Row],[STOCK ACTUAL]]-Tabla2[[#This Row],[CONSUMO MENSUAL]]*1.15)</x:f>
        <x:v>#VALUE!</x:v>
      </x:c>
      <x:c r="F129" s="12"/>
      <x:c r="G129" s="11"/>
    </x:row>
    <x:row r="130" ht="15" customHeight="1">
      <x:c r="A130" s="8" t="s">
        <x:v>45</x:v>
      </x:c>
      <x:c r="B130" s="8" t="s">
        <x:v>438</x:v>
      </x:c>
      <x:c r="C130" s="19"/>
      <x:c r="D130" s="19"/>
      <x:c r="E130" s="20" t="e">
        <x:f>-(Tabla2[[#This Row],[STOCK ACTUAL]]-Tabla2[[#This Row],[CONSUMO MENSUAL]]*1.15)</x:f>
        <x:v>#VALUE!</x:v>
      </x:c>
      <x:c r="F130" s="12"/>
      <x:c r="G130" s="11"/>
    </x:row>
    <x:row r="131" ht="15" customHeight="1">
      <x:c r="A131" s="8" t="s">
        <x:v>45</x:v>
      </x:c>
      <x:c r="B131" s="8" t="s">
        <x:v>439</x:v>
      </x:c>
      <x:c r="C131" s="19"/>
      <x:c r="D131" s="19"/>
      <x:c r="E131" s="20" t="e">
        <x:f>-(Tabla2[[#This Row],[STOCK ACTUAL]]-Tabla2[[#This Row],[CONSUMO MENSUAL]]*1.15)</x:f>
        <x:v>#VALUE!</x:v>
      </x:c>
      <x:c r="F131" s="12"/>
      <x:c r="G131" s="11"/>
    </x:row>
    <x:row r="132" ht="15" customHeight="1">
      <x:c r="A132" s="8" t="s">
        <x:v>45</x:v>
      </x:c>
      <x:c r="B132" s="8" t="s">
        <x:v>440</x:v>
      </x:c>
      <x:c r="C132" s="19"/>
      <x:c r="D132" s="19"/>
      <x:c r="E132" s="20" t="e">
        <x:f>-(Tabla2[[#This Row],[STOCK ACTUAL]]-Tabla2[[#This Row],[CONSUMO MENSUAL]]*1.15)</x:f>
        <x:v>#VALUE!</x:v>
      </x:c>
      <x:c r="F132" s="12"/>
      <x:c r="G132" s="11"/>
    </x:row>
    <x:row r="133" ht="15" customHeight="1">
      <x:c r="A133" s="8" t="s">
        <x:v>45</x:v>
      </x:c>
      <x:c r="B133" s="8" t="s">
        <x:v>441</x:v>
      </x:c>
      <x:c r="C133" s="19"/>
      <x:c r="D133" s="19"/>
      <x:c r="E133" s="20" t="e">
        <x:f>-(Tabla2[[#This Row],[STOCK ACTUAL]]-Tabla2[[#This Row],[CONSUMO MENSUAL]]*1.15)</x:f>
        <x:v>#VALUE!</x:v>
      </x:c>
      <x:c r="F133" s="12"/>
      <x:c r="G133" s="11"/>
    </x:row>
    <x:row r="134" ht="15" customHeight="1">
      <x:c r="A134" s="8" t="s">
        <x:v>45</x:v>
      </x:c>
      <x:c r="B134" s="8" t="s">
        <x:v>442</x:v>
      </x:c>
      <x:c r="C134" s="19"/>
      <x:c r="D134" s="19"/>
      <x:c r="E134" s="20" t="e">
        <x:f>-(Tabla2[[#This Row],[STOCK ACTUAL]]-Tabla2[[#This Row],[CONSUMO MENSUAL]]*1.15)</x:f>
        <x:v>#VALUE!</x:v>
      </x:c>
      <x:c r="F134" s="12"/>
      <x:c r="G134" s="11"/>
    </x:row>
    <x:row r="135" ht="15" customHeight="1">
      <x:c r="A135" s="8" t="s">
        <x:v>45</x:v>
      </x:c>
      <x:c r="B135" s="8" t="s">
        <x:v>443</x:v>
      </x:c>
      <x:c r="C135" s="19"/>
      <x:c r="D135" s="19"/>
      <x:c r="E135" s="20" t="e">
        <x:f>-(Tabla2[[#This Row],[STOCK ACTUAL]]-Tabla2[[#This Row],[CONSUMO MENSUAL]]*1.15)</x:f>
        <x:v>#VALUE!</x:v>
      </x:c>
      <x:c r="F135" s="12"/>
      <x:c r="G135" s="11"/>
    </x:row>
    <x:row r="136" ht="15" customHeight="1">
      <x:c r="A136" s="8" t="s">
        <x:v>45</x:v>
      </x:c>
      <x:c r="B136" s="8" t="s">
        <x:v>444</x:v>
      </x:c>
      <x:c r="C136" s="19"/>
      <x:c r="D136" s="19"/>
      <x:c r="E136" s="20" t="e">
        <x:f>-(Tabla2[[#This Row],[STOCK ACTUAL]]-Tabla2[[#This Row],[CONSUMO MENSUAL]]*1.15)</x:f>
        <x:v>#VALUE!</x:v>
      </x:c>
      <x:c r="F136" s="12"/>
      <x:c r="G136" s="11"/>
    </x:row>
    <x:row r="137" ht="15" customHeight="1">
      <x:c r="A137" s="8" t="s">
        <x:v>45</x:v>
      </x:c>
      <x:c r="B137" s="8" t="s">
        <x:v>445</x:v>
      </x:c>
      <x:c r="C137" s="19"/>
      <x:c r="D137" s="19"/>
      <x:c r="E137" s="20" t="e">
        <x:f>-(Tabla2[[#This Row],[STOCK ACTUAL]]-Tabla2[[#This Row],[CONSUMO MENSUAL]]*1.15)</x:f>
        <x:v>#VALUE!</x:v>
      </x:c>
      <x:c r="F137" s="12"/>
      <x:c r="G137" s="11"/>
    </x:row>
    <x:row r="138" ht="15" customHeight="1">
      <x:c r="A138" s="8" t="s">
        <x:v>45</x:v>
      </x:c>
      <x:c r="B138" s="8" t="s">
        <x:v>446</x:v>
      </x:c>
      <x:c r="C138" s="19"/>
      <x:c r="D138" s="19"/>
      <x:c r="E138" s="20" t="e">
        <x:f>-(Tabla2[[#This Row],[STOCK ACTUAL]]-Tabla2[[#This Row],[CONSUMO MENSUAL]]*1.15)</x:f>
        <x:v>#VALUE!</x:v>
      </x:c>
      <x:c r="F138" s="12"/>
      <x:c r="G138" s="11"/>
    </x:row>
    <x:row r="139" ht="15" customHeight="1">
      <x:c r="A139" s="8" t="s">
        <x:v>45</x:v>
      </x:c>
      <x:c r="B139" s="8" t="s">
        <x:v>447</x:v>
      </x:c>
      <x:c r="C139" s="19"/>
      <x:c r="D139" s="19"/>
      <x:c r="E139" s="20" t="e">
        <x:f>-(Tabla2[[#This Row],[STOCK ACTUAL]]-Tabla2[[#This Row],[CONSUMO MENSUAL]]*1.15)</x:f>
        <x:v>#VALUE!</x:v>
      </x:c>
      <x:c r="F139" s="12"/>
      <x:c r="G139" s="11"/>
    </x:row>
    <x:row r="140" ht="15" customHeight="1">
      <x:c r="A140" s="8" t="s">
        <x:v>45</x:v>
      </x:c>
      <x:c r="B140" s="8" t="s">
        <x:v>448</x:v>
      </x:c>
      <x:c r="C140" s="19"/>
      <x:c r="D140" s="19"/>
      <x:c r="E140" s="20" t="e">
        <x:f>-(Tabla2[[#This Row],[STOCK ACTUAL]]-Tabla2[[#This Row],[CONSUMO MENSUAL]]*1.15)</x:f>
        <x:v>#VALUE!</x:v>
      </x:c>
      <x:c r="F140" s="12"/>
      <x:c r="G140" s="11"/>
    </x:row>
    <x:row r="141" ht="15" customHeight="1">
      <x:c r="A141" s="8" t="s">
        <x:v>45</x:v>
      </x:c>
      <x:c r="B141" s="8" t="s">
        <x:v>449</x:v>
      </x:c>
      <x:c r="C141" s="19"/>
      <x:c r="D141" s="19"/>
      <x:c r="E141" s="20" t="e">
        <x:f>-(Tabla2[[#This Row],[STOCK ACTUAL]]-Tabla2[[#This Row],[CONSUMO MENSUAL]]*1.15)</x:f>
        <x:v>#VALUE!</x:v>
      </x:c>
      <x:c r="F141" s="12"/>
      <x:c r="G141" s="11"/>
    </x:row>
    <x:row r="142" ht="15" customHeight="1">
      <x:c r="A142" s="8" t="s">
        <x:v>45</x:v>
      </x:c>
      <x:c r="B142" s="8" t="s">
        <x:v>450</x:v>
      </x:c>
      <x:c r="C142" s="19"/>
      <x:c r="D142" s="19"/>
      <x:c r="E142" s="20" t="e">
        <x:f>-(Tabla2[[#This Row],[STOCK ACTUAL]]-Tabla2[[#This Row],[CONSUMO MENSUAL]]*1.15)</x:f>
        <x:v>#VALUE!</x:v>
      </x:c>
      <x:c r="F142" s="12"/>
      <x:c r="G142" s="11"/>
    </x:row>
    <x:row r="143" ht="15" customHeight="1">
      <x:c r="A143" s="8" t="s">
        <x:v>45</x:v>
      </x:c>
      <x:c r="B143" s="8" t="s">
        <x:v>451</x:v>
      </x:c>
      <x:c r="C143" s="19"/>
      <x:c r="D143" s="19"/>
      <x:c r="E143" s="20" t="e">
        <x:f>-(Tabla2[[#This Row],[STOCK ACTUAL]]-Tabla2[[#This Row],[CONSUMO MENSUAL]]*1.15)</x:f>
        <x:v>#VALUE!</x:v>
      </x:c>
      <x:c r="F143" s="12"/>
      <x:c r="G143" s="11"/>
    </x:row>
    <x:row r="144" ht="15" customHeight="1">
      <x:c r="A144" s="8" t="s">
        <x:v>45</x:v>
      </x:c>
      <x:c r="B144" s="8" t="s">
        <x:v>452</x:v>
      </x:c>
      <x:c r="C144" s="19"/>
      <x:c r="D144" s="19"/>
      <x:c r="E144" s="20" t="e">
        <x:f>-(Tabla2[[#This Row],[STOCK ACTUAL]]-Tabla2[[#This Row],[CONSUMO MENSUAL]]*1.15)</x:f>
        <x:v>#VALUE!</x:v>
      </x:c>
      <x:c r="F144" s="12"/>
      <x:c r="G144" s="11"/>
    </x:row>
    <x:row r="145" ht="15" customHeight="1">
      <x:c r="A145" s="8" t="s">
        <x:v>45</x:v>
      </x:c>
      <x:c r="B145" s="8" t="s">
        <x:v>453</x:v>
      </x:c>
      <x:c r="C145" s="19"/>
      <x:c r="D145" s="19"/>
      <x:c r="E145" s="20" t="e">
        <x:f>-(Tabla2[[#This Row],[STOCK ACTUAL]]-Tabla2[[#This Row],[CONSUMO MENSUAL]]*1.15)</x:f>
        <x:v>#VALUE!</x:v>
      </x:c>
      <x:c r="F145" s="12"/>
      <x:c r="G145" s="11"/>
    </x:row>
    <x:row r="146" ht="15" customHeight="1">
      <x:c r="A146" s="8" t="s">
        <x:v>45</x:v>
      </x:c>
      <x:c r="B146" s="8" t="s">
        <x:v>454</x:v>
      </x:c>
      <x:c r="C146" s="19"/>
      <x:c r="D146" s="19"/>
      <x:c r="E146" s="20" t="e">
        <x:f>-(Tabla2[[#This Row],[STOCK ACTUAL]]-Tabla2[[#This Row],[CONSUMO MENSUAL]]*1.15)</x:f>
        <x:v>#VALUE!</x:v>
      </x:c>
      <x:c r="F146" s="12"/>
      <x:c r="G146" s="11"/>
    </x:row>
    <x:row r="147" ht="15" customHeight="1">
      <x:c r="A147" s="8" t="s">
        <x:v>45</x:v>
      </x:c>
      <x:c r="B147" s="8" t="s">
        <x:v>455</x:v>
      </x:c>
      <x:c r="C147" s="19"/>
      <x:c r="D147" s="19"/>
      <x:c r="E147" s="20" t="e">
        <x:f>-(Tabla2[[#This Row],[STOCK ACTUAL]]-Tabla2[[#This Row],[CONSUMO MENSUAL]]*1.15)</x:f>
        <x:v>#VALUE!</x:v>
      </x:c>
      <x:c r="F147" s="12"/>
      <x:c r="G147" s="11"/>
    </x:row>
    <x:row r="148" ht="15" customHeight="1">
      <x:c r="A148" s="8" t="s">
        <x:v>456</x:v>
      </x:c>
      <x:c r="B148" s="8" t="s">
        <x:v>457</x:v>
      </x:c>
      <x:c r="C148" s="19"/>
      <x:c r="D148" s="19"/>
      <x:c r="E148" s="20" t="e">
        <x:f>-(Tabla2[[#This Row],[STOCK ACTUAL]]-Tabla2[[#This Row],[CONSUMO MENSUAL]]*1.15)</x:f>
        <x:v>#VALUE!</x:v>
      </x:c>
      <x:c r="F148" s="12"/>
      <x:c r="G148" s="11"/>
    </x:row>
    <x:row r="149" ht="15" customHeight="1">
      <x:c r="A149" s="8" t="s">
        <x:v>36</x:v>
      </x:c>
      <x:c r="B149" s="8" t="s">
        <x:v>458</x:v>
      </x:c>
      <x:c r="C149" s="19"/>
      <x:c r="D149" s="19"/>
      <x:c r="E149" s="20" t="e">
        <x:f>-(Tabla2[[#This Row],[STOCK ACTUAL]]-Tabla2[[#This Row],[CONSUMO MENSUAL]]*1.15)</x:f>
        <x:v>#VALUE!</x:v>
      </x:c>
      <x:c r="F149" s="12"/>
      <x:c r="G149" s="11"/>
    </x:row>
    <x:row r="150" ht="15" customHeight="1">
      <x:c r="A150" s="8" t="s">
        <x:v>45</x:v>
      </x:c>
      <x:c r="B150" s="8" t="s">
        <x:v>459</x:v>
      </x:c>
      <x:c r="C150" s="19"/>
      <x:c r="D150" s="19"/>
      <x:c r="E150" s="20" t="e">
        <x:f>-(Tabla2[[#This Row],[STOCK ACTUAL]]-Tabla2[[#This Row],[CONSUMO MENSUAL]]*1.15)</x:f>
        <x:v>#VALUE!</x:v>
      </x:c>
      <x:c r="F150" s="12"/>
      <x:c r="G150" s="11"/>
    </x:row>
    <x:row r="151" ht="15" customHeight="1">
      <x:c r="A151" s="8" t="s">
        <x:v>45</x:v>
      </x:c>
      <x:c r="B151" s="8" t="s">
        <x:v>460</x:v>
      </x:c>
      <x:c r="C151" s="19"/>
      <x:c r="D151" s="19"/>
      <x:c r="E151" s="20" t="e">
        <x:f>-(Tabla2[[#This Row],[STOCK ACTUAL]]-Tabla2[[#This Row],[CONSUMO MENSUAL]]*1.15)</x:f>
        <x:v>#VALUE!</x:v>
      </x:c>
      <x:c r="F151" s="12"/>
      <x:c r="G151" s="11"/>
    </x:row>
    <x:row r="152" ht="15" customHeight="1">
      <x:c r="A152" s="8" t="s">
        <x:v>45</x:v>
      </x:c>
      <x:c r="B152" s="8" t="s">
        <x:v>461</x:v>
      </x:c>
      <x:c r="C152" s="19"/>
      <x:c r="D152" s="19"/>
      <x:c r="E152" s="20" t="e">
        <x:f>-(Tabla2[[#This Row],[STOCK ACTUAL]]-Tabla2[[#This Row],[CONSUMO MENSUAL]]*1.15)</x:f>
        <x:v>#VALUE!</x:v>
      </x:c>
      <x:c r="F152" s="12"/>
      <x:c r="G152" s="11"/>
    </x:row>
    <x:row r="153" ht="15" customHeight="1">
      <x:c r="A153" s="8" t="s">
        <x:v>45</x:v>
      </x:c>
      <x:c r="B153" s="8" t="s">
        <x:v>462</x:v>
      </x:c>
      <x:c r="C153" s="19"/>
      <x:c r="D153" s="19"/>
      <x:c r="E153" s="20" t="e">
        <x:f>-(Tabla2[[#This Row],[STOCK ACTUAL]]-Tabla2[[#This Row],[CONSUMO MENSUAL]]*1.15)</x:f>
        <x:v>#VALUE!</x:v>
      </x:c>
      <x:c r="F153" s="12"/>
      <x:c r="G153" s="11"/>
    </x:row>
    <x:row r="154" ht="15" customHeight="1">
      <x:c r="A154" s="8" t="s">
        <x:v>45</x:v>
      </x:c>
      <x:c r="B154" s="8" t="s">
        <x:v>463</x:v>
      </x:c>
      <x:c r="C154" s="19"/>
      <x:c r="D154" s="19"/>
      <x:c r="E154" s="20" t="e">
        <x:f>-(Tabla2[[#This Row],[STOCK ACTUAL]]-Tabla2[[#This Row],[CONSUMO MENSUAL]]*1.15)</x:f>
        <x:v>#VALUE!</x:v>
      </x:c>
      <x:c r="F154" s="12"/>
      <x:c r="G154" s="11"/>
    </x:row>
    <x:row r="155" ht="15" customHeight="1">
      <x:c r="A155" s="8" t="s">
        <x:v>45</x:v>
      </x:c>
      <x:c r="B155" s="8" t="s">
        <x:v>464</x:v>
      </x:c>
      <x:c r="C155" s="19"/>
      <x:c r="D155" s="19"/>
      <x:c r="E155" s="20" t="e">
        <x:f>-(Tabla2[[#This Row],[STOCK ACTUAL]]-Tabla2[[#This Row],[CONSUMO MENSUAL]]*1.15)</x:f>
        <x:v>#VALUE!</x:v>
      </x:c>
      <x:c r="F155" s="12"/>
      <x:c r="G155" s="11"/>
    </x:row>
    <x:row r="156" ht="15" customHeight="1">
      <x:c r="A156" s="8" t="s">
        <x:v>45</x:v>
      </x:c>
      <x:c r="B156" s="8" t="s">
        <x:v>465</x:v>
      </x:c>
      <x:c r="C156" s="19"/>
      <x:c r="D156" s="19"/>
      <x:c r="E156" s="20" t="e">
        <x:f>-(Tabla2[[#This Row],[STOCK ACTUAL]]-Tabla2[[#This Row],[CONSUMO MENSUAL]]*1.15)</x:f>
        <x:v>#VALUE!</x:v>
      </x:c>
      <x:c r="F156" s="12"/>
      <x:c r="G156" s="11"/>
    </x:row>
    <x:row r="157" ht="15" customHeight="1">
      <x:c r="A157" s="8" t="s">
        <x:v>334</x:v>
      </x:c>
      <x:c r="B157" s="13" t="s">
        <x:v>466</x:v>
      </x:c>
      <x:c r="C157" s="19"/>
      <x:c r="D157" s="19"/>
      <x:c r="E157" s="20" t="e">
        <x:f>-(Tabla2[[#This Row],[STOCK ACTUAL]]-Tabla2[[#This Row],[CONSUMO MENSUAL]]*1.15)</x:f>
        <x:v>#VALUE!</x:v>
      </x:c>
      <x:c r="F157" s="12"/>
      <x:c r="G157" s="11"/>
    </x:row>
    <x:row r="158" ht="15" customHeight="1">
      <x:c r="A158" s="8" t="s">
        <x:v>334</x:v>
      </x:c>
      <x:c r="B158" s="13" t="s">
        <x:v>467</x:v>
      </x:c>
      <x:c r="C158" s="19"/>
      <x:c r="D158" s="19"/>
      <x:c r="E158" s="20" t="e">
        <x:f>-(Tabla2[[#This Row],[STOCK ACTUAL]]-Tabla2[[#This Row],[CONSUMO MENSUAL]]*1.15)</x:f>
        <x:v>#VALUE!</x:v>
      </x:c>
      <x:c r="F158" s="12"/>
      <x:c r="G158" s="11"/>
    </x:row>
    <x:row r="159" ht="15" customHeight="1">
      <x:c r="A159" s="8" t="s">
        <x:v>334</x:v>
      </x:c>
      <x:c r="B159" s="13" t="s">
        <x:v>468</x:v>
      </x:c>
      <x:c r="C159" s="19"/>
      <x:c r="D159" s="19"/>
      <x:c r="E159" s="20" t="e">
        <x:f>-(Tabla2[[#This Row],[STOCK ACTUAL]]-Tabla2[[#This Row],[CONSUMO MENSUAL]]*1.15)</x:f>
        <x:v>#VALUE!</x:v>
      </x:c>
      <x:c r="F159" s="12"/>
      <x:c r="G159" s="11"/>
    </x:row>
    <x:row r="160" ht="15" customHeight="1">
      <x:c r="A160" s="8" t="s">
        <x:v>334</x:v>
      </x:c>
      <x:c r="B160" s="13" t="s">
        <x:v>469</x:v>
      </x:c>
      <x:c r="C160" s="19"/>
      <x:c r="D160" s="19"/>
      <x:c r="E160" s="20" t="e">
        <x:f>-(Tabla2[[#This Row],[STOCK ACTUAL]]-Tabla2[[#This Row],[CONSUMO MENSUAL]]*1.15)</x:f>
        <x:v>#VALUE!</x:v>
      </x:c>
      <x:c r="F160" s="12"/>
      <x:c r="G160" s="11"/>
    </x:row>
    <x:row r="161" ht="15" customHeight="1">
      <x:c r="A161" s="8" t="s">
        <x:v>45</x:v>
      </x:c>
      <x:c r="B161" s="8" t="s">
        <x:v>470</x:v>
      </x:c>
      <x:c r="C161" s="19"/>
      <x:c r="D161" s="19"/>
      <x:c r="E161" s="20" t="e">
        <x:f>-(Tabla2[[#This Row],[STOCK ACTUAL]]-Tabla2[[#This Row],[CONSUMO MENSUAL]]*1.15)</x:f>
        <x:v>#VALUE!</x:v>
      </x:c>
      <x:c r="F161" s="12"/>
      <x:c r="G161" s="11"/>
    </x:row>
    <x:row r="162" ht="15" customHeight="1">
      <x:c r="A162" s="8" t="s">
        <x:v>471</x:v>
      </x:c>
      <x:c r="B162" s="8" t="s">
        <x:v>472</x:v>
      </x:c>
      <x:c r="C162" s="19"/>
      <x:c r="D162" s="19"/>
      <x:c r="E162" s="20" t="e">
        <x:f>-(Tabla2[[#This Row],[STOCK ACTUAL]]-Tabla2[[#This Row],[CONSUMO MENSUAL]]*1.15)</x:f>
        <x:v>#VALUE!</x:v>
      </x:c>
      <x:c r="F162" s="12"/>
      <x:c r="G162" s="11"/>
    </x:row>
    <x:row r="163" ht="15" customHeight="1">
      <x:c r="A163" s="8" t="s">
        <x:v>45</x:v>
      </x:c>
      <x:c r="B163" s="8" t="s">
        <x:v>473</x:v>
      </x:c>
      <x:c r="C163" s="19"/>
      <x:c r="D163" s="19"/>
      <x:c r="E163" s="20" t="e">
        <x:f>-(Tabla2[[#This Row],[STOCK ACTUAL]]-Tabla2[[#This Row],[CONSUMO MENSUAL]]*1.15)</x:f>
        <x:v>#VALUE!</x:v>
      </x:c>
      <x:c r="F163" s="12"/>
      <x:c r="G163" s="11"/>
    </x:row>
    <x:row r="164" ht="15" customHeight="1">
      <x:c r="A164" s="8" t="s">
        <x:v>45</x:v>
      </x:c>
      <x:c r="B164" s="8" t="s">
        <x:v>474</x:v>
      </x:c>
      <x:c r="C164" s="19"/>
      <x:c r="D164" s="19"/>
      <x:c r="E164" s="20" t="e">
        <x:f>-(Tabla2[[#This Row],[STOCK ACTUAL]]-Tabla2[[#This Row],[CONSUMO MENSUAL]]*1.15)</x:f>
        <x:v>#VALUE!</x:v>
      </x:c>
      <x:c r="F164" s="12"/>
      <x:c r="G164" s="11"/>
    </x:row>
    <x:row r="165" ht="15" customHeight="1">
      <x:c r="A165" s="8" t="s">
        <x:v>409</x:v>
      </x:c>
      <x:c r="B165" s="8" t="s">
        <x:v>475</x:v>
      </x:c>
      <x:c r="C165" s="19"/>
      <x:c r="D165" s="19"/>
      <x:c r="E165" s="20" t="e">
        <x:f>-(Tabla2[[#This Row],[STOCK ACTUAL]]-Tabla2[[#This Row],[CONSUMO MENSUAL]]*1.15)</x:f>
        <x:v>#VALUE!</x:v>
      </x:c>
      <x:c r="F165" s="12"/>
      <x:c r="G165" s="11"/>
    </x:row>
    <x:row r="166" ht="15" customHeight="1">
      <x:c r="A166" s="8" t="s">
        <x:v>45</x:v>
      </x:c>
      <x:c r="B166" s="8" t="s">
        <x:v>476</x:v>
      </x:c>
      <x:c r="C166" s="19"/>
      <x:c r="D166" s="19"/>
      <x:c r="E166" s="20" t="e">
        <x:f>-(Tabla2[[#This Row],[STOCK ACTUAL]]-Tabla2[[#This Row],[CONSUMO MENSUAL]]*1.15)</x:f>
        <x:v>#VALUE!</x:v>
      </x:c>
      <x:c r="F166" s="12"/>
      <x:c r="G166" s="11"/>
    </x:row>
    <x:row r="167" ht="15" customHeight="1">
      <x:c r="A167" s="8" t="s">
        <x:v>45</x:v>
      </x:c>
      <x:c r="B167" s="8" t="s">
        <x:v>477</x:v>
      </x:c>
      <x:c r="C167" s="19"/>
      <x:c r="D167" s="19"/>
      <x:c r="E167" s="20" t="e">
        <x:f>-(Tabla2[[#This Row],[STOCK ACTUAL]]-Tabla2[[#This Row],[CONSUMO MENSUAL]]*1.15)</x:f>
        <x:v>#VALUE!</x:v>
      </x:c>
      <x:c r="F167" s="12"/>
      <x:c r="G167" s="11"/>
    </x:row>
    <x:row r="168" ht="15" customHeight="1">
      <x:c r="A168" s="8" t="s">
        <x:v>45</x:v>
      </x:c>
      <x:c r="B168" s="8" t="s">
        <x:v>478</x:v>
      </x:c>
      <x:c r="C168" s="19"/>
      <x:c r="D168" s="19"/>
      <x:c r="E168" s="20" t="e">
        <x:f>-(Tabla2[[#This Row],[STOCK ACTUAL]]-Tabla2[[#This Row],[CONSUMO MENSUAL]]*1.15)</x:f>
        <x:v>#VALUE!</x:v>
      </x:c>
      <x:c r="F168" s="12"/>
      <x:c r="G168" s="11"/>
    </x:row>
    <x:row r="169" ht="15" customHeight="1">
      <x:c r="A169" s="8" t="s">
        <x:v>41</x:v>
      </x:c>
      <x:c r="B169" s="8" t="s">
        <x:v>479</x:v>
      </x:c>
      <x:c r="C169" s="19"/>
      <x:c r="D169" s="19"/>
      <x:c r="E169" s="20" t="e">
        <x:f>-(Tabla2[[#This Row],[STOCK ACTUAL]]-Tabla2[[#This Row],[CONSUMO MENSUAL]]*1.15)</x:f>
        <x:v>#VALUE!</x:v>
      </x:c>
      <x:c r="F169" s="12"/>
      <x:c r="G169" s="11"/>
    </x:row>
    <x:row r="170" ht="15" customHeight="1">
      <x:c r="A170" s="8" t="s">
        <x:v>315</x:v>
      </x:c>
      <x:c r="B170" s="8" t="s">
        <x:v>480</x:v>
      </x:c>
      <x:c r="C170" s="19"/>
      <x:c r="D170" s="19"/>
      <x:c r="E170" s="20" t="e">
        <x:f>-(Tabla2[[#This Row],[STOCK ACTUAL]]-Tabla2[[#This Row],[CONSUMO MENSUAL]]*1.15)</x:f>
        <x:v>#VALUE!</x:v>
      </x:c>
      <x:c r="F170" s="12"/>
      <x:c r="G170" s="11"/>
    </x:row>
    <x:row r="171" ht="15" customHeight="1">
      <x:c r="A171" s="8" t="s">
        <x:v>315</x:v>
      </x:c>
      <x:c r="B171" s="8" t="s">
        <x:v>481</x:v>
      </x:c>
      <x:c r="C171" s="19"/>
      <x:c r="D171" s="19"/>
      <x:c r="E171" s="20" t="e">
        <x:f>-(Tabla2[[#This Row],[STOCK ACTUAL]]-Tabla2[[#This Row],[CONSUMO MENSUAL]]*1.15)</x:f>
        <x:v>#VALUE!</x:v>
      </x:c>
      <x:c r="F171" s="12"/>
      <x:c r="G171" s="11"/>
    </x:row>
    <x:row r="172" ht="15" customHeight="1">
      <x:c r="A172" s="8" t="s">
        <x:v>315</x:v>
      </x:c>
      <x:c r="B172" s="8" t="s">
        <x:v>482</x:v>
      </x:c>
      <x:c r="C172" s="19"/>
      <x:c r="D172" s="19"/>
      <x:c r="E172" s="20" t="e">
        <x:f>-(Tabla2[[#This Row],[STOCK ACTUAL]]-Tabla2[[#This Row],[CONSUMO MENSUAL]]*1.15)</x:f>
        <x:v>#VALUE!</x:v>
      </x:c>
      <x:c r="F172" s="12"/>
      <x:c r="G172" s="11"/>
    </x:row>
    <x:row r="173" ht="15" customHeight="1">
      <x:c r="A173" s="8" t="s">
        <x:v>315</x:v>
      </x:c>
      <x:c r="B173" s="8" t="s">
        <x:v>483</x:v>
      </x:c>
      <x:c r="C173" s="19"/>
      <x:c r="D173" s="19"/>
      <x:c r="E173" s="20" t="e">
        <x:f>-(Tabla2[[#This Row],[STOCK ACTUAL]]-Tabla2[[#This Row],[CONSUMO MENSUAL]]*1.15)</x:f>
        <x:v>#VALUE!</x:v>
      </x:c>
      <x:c r="F173" s="12"/>
      <x:c r="G173" s="11"/>
    </x:row>
    <x:row r="174" ht="15" customHeight="1">
      <x:c r="A174" s="8" t="s">
        <x:v>45</x:v>
      </x:c>
      <x:c r="B174" s="8" t="s">
        <x:v>484</x:v>
      </x:c>
      <x:c r="C174" s="19"/>
      <x:c r="D174" s="19"/>
      <x:c r="E174" s="20" t="e">
        <x:f>-(Tabla2[[#This Row],[STOCK ACTUAL]]-Tabla2[[#This Row],[CONSUMO MENSUAL]]*1.15)</x:f>
        <x:v>#VALUE!</x:v>
      </x:c>
      <x:c r="F174" s="12"/>
      <x:c r="G174" s="11"/>
    </x:row>
    <x:row r="175" ht="15" customHeight="1">
      <x:c r="A175" s="8" t="s">
        <x:v>315</x:v>
      </x:c>
      <x:c r="B175" s="8" t="s">
        <x:v>485</x:v>
      </x:c>
      <x:c r="C175" s="19"/>
      <x:c r="D175" s="19"/>
      <x:c r="E175" s="20" t="e">
        <x:f>-(Tabla2[[#This Row],[STOCK ACTUAL]]-Tabla2[[#This Row],[CONSUMO MENSUAL]]*1.15)</x:f>
        <x:v>#VALUE!</x:v>
      </x:c>
      <x:c r="F175" s="12"/>
      <x:c r="G175" s="11"/>
    </x:row>
    <x:row r="176" ht="15" customHeight="1">
      <x:c r="A176" s="8" t="s">
        <x:v>45</x:v>
      </x:c>
      <x:c r="B176" s="8" t="s">
        <x:v>486</x:v>
      </x:c>
      <x:c r="C176" s="19"/>
      <x:c r="D176" s="19"/>
      <x:c r="E176" s="20" t="e">
        <x:f>-(Tabla2[[#This Row],[STOCK ACTUAL]]-Tabla2[[#This Row],[CONSUMO MENSUAL]]*1.15)</x:f>
        <x:v>#VALUE!</x:v>
      </x:c>
      <x:c r="F176" s="12"/>
      <x:c r="G176" s="11"/>
    </x:row>
    <x:row r="177" ht="15" customHeight="1">
      <x:c r="A177" s="8" t="s">
        <x:v>45</x:v>
      </x:c>
      <x:c r="B177" s="8" t="s">
        <x:v>487</x:v>
      </x:c>
      <x:c r="C177" s="19"/>
      <x:c r="D177" s="19"/>
      <x:c r="E177" s="20" t="e">
        <x:f>-(Tabla2[[#This Row],[STOCK ACTUAL]]-Tabla2[[#This Row],[CONSUMO MENSUAL]]*1.15)</x:f>
        <x:v>#VALUE!</x:v>
      </x:c>
      <x:c r="F177" s="12"/>
      <x:c r="G177" s="11"/>
    </x:row>
    <x:row r="178" ht="15" customHeight="1">
      <x:c r="A178" s="8" t="s">
        <x:v>45</x:v>
      </x:c>
      <x:c r="B178" s="8" t="s">
        <x:v>488</x:v>
      </x:c>
      <x:c r="C178" s="19"/>
      <x:c r="D178" s="19"/>
      <x:c r="E178" s="20" t="e">
        <x:f>-(Tabla2[[#This Row],[STOCK ACTUAL]]-Tabla2[[#This Row],[CONSUMO MENSUAL]]*1.15)</x:f>
        <x:v>#VALUE!</x:v>
      </x:c>
      <x:c r="F178" s="12"/>
      <x:c r="G178" s="11"/>
    </x:row>
    <x:row r="179" ht="15" customHeight="1">
      <x:c r="A179" s="8" t="s">
        <x:v>45</x:v>
      </x:c>
      <x:c r="B179" s="8" t="s">
        <x:v>489</x:v>
      </x:c>
      <x:c r="C179" s="19"/>
      <x:c r="D179" s="19"/>
      <x:c r="E179" s="20" t="e">
        <x:f>-(Tabla2[[#This Row],[STOCK ACTUAL]]-Tabla2[[#This Row],[CONSUMO MENSUAL]]*1.15)</x:f>
        <x:v>#VALUE!</x:v>
      </x:c>
      <x:c r="F179" s="12"/>
      <x:c r="G179" s="11"/>
    </x:row>
    <x:row r="180" ht="15" customHeight="1">
      <x:c r="A180" s="8" t="s">
        <x:v>45</x:v>
      </x:c>
      <x:c r="B180" s="8" t="s">
        <x:v>490</x:v>
      </x:c>
      <x:c r="C180" s="19"/>
      <x:c r="D180" s="19"/>
      <x:c r="E180" s="20" t="e">
        <x:f>-(Tabla2[[#This Row],[STOCK ACTUAL]]-Tabla2[[#This Row],[CONSUMO MENSUAL]]*1.15)</x:f>
        <x:v>#VALUE!</x:v>
      </x:c>
      <x:c r="F180" s="12"/>
      <x:c r="G180" s="11"/>
    </x:row>
    <x:row r="181" ht="15" customHeight="1">
      <x:c r="A181" s="8" t="s">
        <x:v>45</x:v>
      </x:c>
      <x:c r="B181" s="8" t="s">
        <x:v>491</x:v>
      </x:c>
      <x:c r="C181" s="19"/>
      <x:c r="D181" s="19"/>
      <x:c r="E181" s="20" t="e">
        <x:f>-(Tabla2[[#This Row],[STOCK ACTUAL]]-Tabla2[[#This Row],[CONSUMO MENSUAL]]*1.15)</x:f>
        <x:v>#VALUE!</x:v>
      </x:c>
      <x:c r="F181" s="12"/>
      <x:c r="G181" s="11"/>
    </x:row>
    <x:row r="182" ht="15" customHeight="1">
      <x:c r="A182" s="8" t="s">
        <x:v>45</x:v>
      </x:c>
      <x:c r="B182" s="8" t="s">
        <x:v>492</x:v>
      </x:c>
      <x:c r="C182" s="19"/>
      <x:c r="D182" s="19"/>
      <x:c r="E182" s="20" t="e">
        <x:f>-(Tabla2[[#This Row],[STOCK ACTUAL]]-Tabla2[[#This Row],[CONSUMO MENSUAL]]*1.15)</x:f>
        <x:v>#VALUE!</x:v>
      </x:c>
      <x:c r="F182" s="12"/>
      <x:c r="G182" s="11"/>
    </x:row>
    <x:row r="183" ht="15" customHeight="1">
      <x:c r="A183" s="8" t="s">
        <x:v>45</x:v>
      </x:c>
      <x:c r="B183" s="8" t="s">
        <x:v>493</x:v>
      </x:c>
      <x:c r="C183" s="19"/>
      <x:c r="D183" s="19"/>
      <x:c r="E183" s="20" t="e">
        <x:f>-(Tabla2[[#This Row],[STOCK ACTUAL]]-Tabla2[[#This Row],[CONSUMO MENSUAL]]*1.15)</x:f>
        <x:v>#VALUE!</x:v>
      </x:c>
      <x:c r="F183" s="12"/>
      <x:c r="G183" s="11"/>
    </x:row>
    <x:row r="184" ht="15" customHeight="1">
      <x:c r="A184" s="8" t="s">
        <x:v>45</x:v>
      </x:c>
      <x:c r="B184" s="8" t="s">
        <x:v>494</x:v>
      </x:c>
      <x:c r="C184" s="19"/>
      <x:c r="D184" s="19"/>
      <x:c r="E184" s="20" t="e">
        <x:f>-(Tabla2[[#This Row],[STOCK ACTUAL]]-Tabla2[[#This Row],[CONSUMO MENSUAL]]*1.15)</x:f>
        <x:v>#VALUE!</x:v>
      </x:c>
      <x:c r="F184" s="12"/>
      <x:c r="G184" s="11"/>
    </x:row>
    <x:row r="185" ht="15" customHeight="1">
      <x:c r="A185" s="8" t="s">
        <x:v>45</x:v>
      </x:c>
      <x:c r="B185" s="8" t="s">
        <x:v>495</x:v>
      </x:c>
      <x:c r="C185" s="19"/>
      <x:c r="D185" s="19"/>
      <x:c r="E185" s="20" t="e">
        <x:f>-(Tabla2[[#This Row],[STOCK ACTUAL]]-Tabla2[[#This Row],[CONSUMO MENSUAL]]*1.15)</x:f>
        <x:v>#VALUE!</x:v>
      </x:c>
      <x:c r="F185" s="12"/>
      <x:c r="G185" s="11"/>
    </x:row>
    <x:row r="186" ht="15" customHeight="1">
      <x:c r="A186" s="8" t="s">
        <x:v>45</x:v>
      </x:c>
      <x:c r="B186" s="8" t="s">
        <x:v>496</x:v>
      </x:c>
      <x:c r="C186" s="19"/>
      <x:c r="D186" s="19"/>
      <x:c r="E186" s="20" t="e">
        <x:f>-(Tabla2[[#This Row],[STOCK ACTUAL]]-Tabla2[[#This Row],[CONSUMO MENSUAL]]*1.15)</x:f>
        <x:v>#VALUE!</x:v>
      </x:c>
      <x:c r="F186" s="12"/>
      <x:c r="G186" s="11"/>
    </x:row>
    <x:row r="187" ht="15" customHeight="1">
      <x:c r="A187" s="8" t="s">
        <x:v>456</x:v>
      </x:c>
      <x:c r="B187" s="8" t="s">
        <x:v>497</x:v>
      </x:c>
      <x:c r="C187" s="19"/>
      <x:c r="D187" s="19"/>
      <x:c r="E187" s="20" t="e">
        <x:f>-(Tabla2[[#This Row],[STOCK ACTUAL]]-Tabla2[[#This Row],[CONSUMO MENSUAL]]*1.15)</x:f>
        <x:v>#VALUE!</x:v>
      </x:c>
      <x:c r="F187" s="12"/>
      <x:c r="G187" s="11"/>
    </x:row>
    <x:row r="188" ht="15" customHeight="1">
      <x:c r="A188" s="8" t="s">
        <x:v>45</x:v>
      </x:c>
      <x:c r="B188" s="8" t="s">
        <x:v>498</x:v>
      </x:c>
      <x:c r="C188" s="19"/>
      <x:c r="D188" s="19"/>
      <x:c r="E188" s="20" t="e">
        <x:f>-(Tabla2[[#This Row],[STOCK ACTUAL]]-Tabla2[[#This Row],[CONSUMO MENSUAL]]*1.15)</x:f>
        <x:v>#VALUE!</x:v>
      </x:c>
      <x:c r="F188" s="12"/>
      <x:c r="G188" s="11"/>
    </x:row>
    <x:row r="189" ht="15" customHeight="1">
      <x:c r="A189" s="8" t="s">
        <x:v>45</x:v>
      </x:c>
      <x:c r="B189" s="8" t="s">
        <x:v>499</x:v>
      </x:c>
      <x:c r="C189" s="19"/>
      <x:c r="D189" s="19"/>
      <x:c r="E189" s="20" t="e">
        <x:f>-(Tabla2[[#This Row],[STOCK ACTUAL]]-Tabla2[[#This Row],[CONSUMO MENSUAL]]*1.15)</x:f>
        <x:v>#VALUE!</x:v>
      </x:c>
      <x:c r="F189" s="12"/>
      <x:c r="G189" s="11"/>
    </x:row>
    <x:row r="190" ht="15" customHeight="1">
      <x:c r="A190" s="8" t="s">
        <x:v>45</x:v>
      </x:c>
      <x:c r="B190" s="8" t="s">
        <x:v>500</x:v>
      </x:c>
      <x:c r="C190" s="19"/>
      <x:c r="D190" s="19"/>
      <x:c r="E190" s="20" t="e">
        <x:f>-(Tabla2[[#This Row],[STOCK ACTUAL]]-Tabla2[[#This Row],[CONSUMO MENSUAL]]*1.15)</x:f>
        <x:v>#VALUE!</x:v>
      </x:c>
      <x:c r="F190" s="12"/>
      <x:c r="G190" s="11"/>
    </x:row>
    <x:row r="191" ht="15" customHeight="1">
      <x:c r="A191" s="8" t="s">
        <x:v>45</x:v>
      </x:c>
      <x:c r="B191" s="8" t="s">
        <x:v>501</x:v>
      </x:c>
      <x:c r="C191" s="19"/>
      <x:c r="D191" s="19"/>
      <x:c r="E191" s="20" t="e">
        <x:f>-(Tabla2[[#This Row],[STOCK ACTUAL]]-Tabla2[[#This Row],[CONSUMO MENSUAL]]*1.15)</x:f>
        <x:v>#VALUE!</x:v>
      </x:c>
      <x:c r="F191" s="12"/>
      <x:c r="G191" s="11"/>
    </x:row>
    <x:row r="192" ht="15" customHeight="1">
      <x:c r="A192" s="8" t="s">
        <x:v>45</x:v>
      </x:c>
      <x:c r="B192" s="8" t="s">
        <x:v>502</x:v>
      </x:c>
      <x:c r="C192" s="19"/>
      <x:c r="D192" s="19"/>
      <x:c r="E192" s="20" t="e">
        <x:f>-(Tabla2[[#This Row],[STOCK ACTUAL]]-Tabla2[[#This Row],[CONSUMO MENSUAL]]*1.15)</x:f>
        <x:v>#VALUE!</x:v>
      </x:c>
      <x:c r="F192" s="12"/>
      <x:c r="G192" s="11"/>
    </x:row>
    <x:row r="193" ht="15" customHeight="1">
      <x:c r="A193" s="8" t="s">
        <x:v>45</x:v>
      </x:c>
      <x:c r="B193" s="8" t="s">
        <x:v>503</x:v>
      </x:c>
      <x:c r="C193" s="19"/>
      <x:c r="D193" s="19"/>
      <x:c r="E193" s="20" t="e">
        <x:f>-(Tabla2[[#This Row],[STOCK ACTUAL]]-Tabla2[[#This Row],[CONSUMO MENSUAL]]*1.15)</x:f>
        <x:v>#VALUE!</x:v>
      </x:c>
      <x:c r="F193" s="12"/>
      <x:c r="G193" s="11"/>
    </x:row>
    <x:row r="194" ht="15" customHeight="1">
      <x:c r="A194" s="8" t="s">
        <x:v>45</x:v>
      </x:c>
      <x:c r="B194" s="8" t="s">
        <x:v>504</x:v>
      </x:c>
      <x:c r="C194" s="19"/>
      <x:c r="D194" s="19"/>
      <x:c r="E194" s="20" t="e">
        <x:f>-(Tabla2[[#This Row],[STOCK ACTUAL]]-Tabla2[[#This Row],[CONSUMO MENSUAL]]*1.15)</x:f>
        <x:v>#VALUE!</x:v>
      </x:c>
      <x:c r="F194" s="12"/>
      <x:c r="G194" s="11"/>
    </x:row>
    <x:row r="195" ht="15" customHeight="1">
      <x:c r="A195" s="8" t="s">
        <x:v>45</x:v>
      </x:c>
      <x:c r="B195" s="13" t="s">
        <x:v>505</x:v>
      </x:c>
      <x:c r="C195" s="19"/>
      <x:c r="D195" s="19"/>
      <x:c r="E195" s="20" t="e">
        <x:f>-(Tabla2[[#This Row],[STOCK ACTUAL]]-Tabla2[[#This Row],[CONSUMO MENSUAL]]*1.15)</x:f>
        <x:v>#VALUE!</x:v>
      </x:c>
      <x:c r="F195" s="12"/>
      <x:c r="G195" s="11"/>
    </x:row>
    <x:row r="196" ht="15" customHeight="1">
      <x:c r="A196" s="8" t="s">
        <x:v>45</x:v>
      </x:c>
      <x:c r="B196" s="8" t="s">
        <x:v>506</x:v>
      </x:c>
      <x:c r="C196" s="19"/>
      <x:c r="D196" s="19"/>
      <x:c r="E196" s="20" t="e">
        <x:f>-(Tabla2[[#This Row],[STOCK ACTUAL]]-Tabla2[[#This Row],[CONSUMO MENSUAL]]*1.15)</x:f>
        <x:v>#VALUE!</x:v>
      </x:c>
      <x:c r="F196" s="12"/>
      <x:c r="G196" s="11"/>
    </x:row>
    <x:row r="197" ht="15" customHeight="1">
      <x:c r="A197" s="8" t="s">
        <x:v>45</x:v>
      </x:c>
      <x:c r="B197" s="8" t="s">
        <x:v>507</x:v>
      </x:c>
      <x:c r="C197" s="19"/>
      <x:c r="D197" s="19"/>
      <x:c r="E197" s="20" t="e">
        <x:f>-(Tabla2[[#This Row],[STOCK ACTUAL]]-Tabla2[[#This Row],[CONSUMO MENSUAL]]*1.15)</x:f>
        <x:v>#VALUE!</x:v>
      </x:c>
      <x:c r="F197" s="12"/>
      <x:c r="G197" s="11"/>
    </x:row>
    <x:row r="198" ht="15" customHeight="1">
      <x:c r="A198" s="8" t="s">
        <x:v>45</x:v>
      </x:c>
      <x:c r="B198" s="8" t="s">
        <x:v>508</x:v>
      </x:c>
      <x:c r="C198" s="19"/>
      <x:c r="D198" s="19"/>
      <x:c r="E198" s="20" t="e">
        <x:f>-(Tabla2[[#This Row],[STOCK ACTUAL]]-Tabla2[[#This Row],[CONSUMO MENSUAL]]*1.15)</x:f>
        <x:v>#VALUE!</x:v>
      </x:c>
      <x:c r="F198" s="12"/>
      <x:c r="G198" s="11"/>
    </x:row>
    <x:row r="199" ht="15" customHeight="1">
      <x:c r="A199" s="8" t="s">
        <x:v>45</x:v>
      </x:c>
      <x:c r="B199" s="8" t="s">
        <x:v>509</x:v>
      </x:c>
      <x:c r="C199" s="19"/>
      <x:c r="D199" s="19"/>
      <x:c r="E199" s="20" t="e">
        <x:f>-(Tabla2[[#This Row],[STOCK ACTUAL]]-Tabla2[[#This Row],[CONSUMO MENSUAL]]*1.15)</x:f>
        <x:v>#VALUE!</x:v>
      </x:c>
      <x:c r="F199" s="12"/>
      <x:c r="G199" s="11"/>
    </x:row>
    <x:row r="200" ht="15" customHeight="1">
      <x:c r="A200" s="8" t="s">
        <x:v>45</x:v>
      </x:c>
      <x:c r="B200" s="13" t="s">
        <x:v>510</x:v>
      </x:c>
      <x:c r="C200" s="19"/>
      <x:c r="D200" s="19"/>
      <x:c r="E200" s="20" t="e">
        <x:f>-(Tabla2[[#This Row],[STOCK ACTUAL]]-Tabla2[[#This Row],[CONSUMO MENSUAL]]*1.15)</x:f>
        <x:v>#VALUE!</x:v>
      </x:c>
      <x:c r="F200" s="12"/>
      <x:c r="G200" s="11"/>
    </x:row>
    <x:row r="201" ht="15" customHeight="1">
      <x:c r="A201" s="8" t="s">
        <x:v>334</x:v>
      </x:c>
      <x:c r="B201" s="8" t="s">
        <x:v>511</x:v>
      </x:c>
      <x:c r="C201" s="19"/>
      <x:c r="D201" s="19"/>
      <x:c r="E201" s="20" t="e">
        <x:f>-(Tabla2[[#This Row],[STOCK ACTUAL]]-Tabla2[[#This Row],[CONSUMO MENSUAL]]*1.15)</x:f>
        <x:v>#VALUE!</x:v>
      </x:c>
      <x:c r="F201" s="12"/>
      <x:c r="G201" s="11"/>
    </x:row>
    <x:row r="202" ht="15" customHeight="1">
      <x:c r="A202" s="8" t="s">
        <x:v>334</x:v>
      </x:c>
      <x:c r="B202" s="8" t="s">
        <x:v>512</x:v>
      </x:c>
      <x:c r="C202" s="19"/>
      <x:c r="D202" s="19"/>
      <x:c r="E202" s="20" t="e">
        <x:f>-(Tabla2[[#This Row],[STOCK ACTUAL]]-Tabla2[[#This Row],[CONSUMO MENSUAL]]*1.15)</x:f>
        <x:v>#VALUE!</x:v>
      </x:c>
      <x:c r="F202" s="12"/>
      <x:c r="G202" s="11"/>
    </x:row>
    <x:row r="203" ht="15" customHeight="1">
      <x:c r="A203" s="8" t="s">
        <x:v>334</x:v>
      </x:c>
      <x:c r="B203" s="8" t="s">
        <x:v>513</x:v>
      </x:c>
      <x:c r="C203" s="19"/>
      <x:c r="D203" s="19"/>
      <x:c r="E203" s="20" t="e">
        <x:f>-(Tabla2[[#This Row],[STOCK ACTUAL]]-Tabla2[[#This Row],[CONSUMO MENSUAL]]*1.15)</x:f>
        <x:v>#VALUE!</x:v>
      </x:c>
      <x:c r="F203" s="12"/>
      <x:c r="G203" s="11"/>
    </x:row>
    <x:row r="204" ht="15" customHeight="1">
      <x:c r="A204" s="8" t="s">
        <x:v>45</x:v>
      </x:c>
      <x:c r="B204" s="8" t="s">
        <x:v>514</x:v>
      </x:c>
      <x:c r="C204" s="19"/>
      <x:c r="D204" s="19"/>
      <x:c r="E204" s="20" t="e">
        <x:f>-(Tabla2[[#This Row],[STOCK ACTUAL]]-Tabla2[[#This Row],[CONSUMO MENSUAL]]*1.15)</x:f>
        <x:v>#VALUE!</x:v>
      </x:c>
      <x:c r="F204" s="12"/>
      <x:c r="G204" s="11"/>
    </x:row>
    <x:row r="205" ht="15" customHeight="1">
      <x:c r="A205" s="8" t="s">
        <x:v>45</x:v>
      </x:c>
      <x:c r="B205" s="8" t="s">
        <x:v>515</x:v>
      </x:c>
      <x:c r="C205" s="19"/>
      <x:c r="D205" s="19"/>
      <x:c r="E205" s="20" t="e">
        <x:f>-(Tabla2[[#This Row],[STOCK ACTUAL]]-Tabla2[[#This Row],[CONSUMO MENSUAL]]*1.15)</x:f>
        <x:v>#VALUE!</x:v>
      </x:c>
      <x:c r="F205" s="12"/>
      <x:c r="G205" s="11"/>
    </x:row>
    <x:row r="206" ht="15" customHeight="1">
      <x:c r="A206" s="8" t="s">
        <x:v>45</x:v>
      </x:c>
      <x:c r="B206" s="8" t="s">
        <x:v>516</x:v>
      </x:c>
      <x:c r="C206" s="19"/>
      <x:c r="D206" s="19"/>
      <x:c r="E206" s="20" t="e">
        <x:f>-(Tabla2[[#This Row],[STOCK ACTUAL]]-Tabla2[[#This Row],[CONSUMO MENSUAL]]*1.15)</x:f>
        <x:v>#VALUE!</x:v>
      </x:c>
      <x:c r="F206" s="12"/>
      <x:c r="G206" s="11"/>
    </x:row>
    <x:row r="207" ht="15" customHeight="1">
      <x:c r="A207" s="8" t="s">
        <x:v>334</x:v>
      </x:c>
      <x:c r="B207" s="13" t="s">
        <x:v>517</x:v>
      </x:c>
      <x:c r="C207" s="19"/>
      <x:c r="D207" s="19"/>
      <x:c r="E207" s="20" t="e">
        <x:f>-(Tabla2[[#This Row],[STOCK ACTUAL]]-Tabla2[[#This Row],[CONSUMO MENSUAL]]*1.15)</x:f>
        <x:v>#VALUE!</x:v>
      </x:c>
      <x:c r="F207" s="12"/>
      <x:c r="G207" s="11"/>
    </x:row>
    <x:row r="208" ht="15" customHeight="1">
      <x:c r="A208" s="8" t="s">
        <x:v>334</x:v>
      </x:c>
      <x:c r="B208" s="8" t="s">
        <x:v>518</x:v>
      </x:c>
      <x:c r="C208" s="19"/>
      <x:c r="D208" s="19"/>
      <x:c r="E208" s="20" t="e">
        <x:f>-(Tabla2[[#This Row],[STOCK ACTUAL]]-Tabla2[[#This Row],[CONSUMO MENSUAL]]*1.15)</x:f>
        <x:v>#VALUE!</x:v>
      </x:c>
      <x:c r="F208" s="12"/>
      <x:c r="G208" s="11"/>
    </x:row>
    <x:row r="209" ht="15" customHeight="1">
      <x:c r="A209" s="8" t="s">
        <x:v>409</x:v>
      </x:c>
      <x:c r="B209" s="8" t="s">
        <x:v>519</x:v>
      </x:c>
      <x:c r="C209" s="19"/>
      <x:c r="D209" s="19"/>
      <x:c r="E209" s="20" t="e">
        <x:f>-(Tabla2[[#This Row],[STOCK ACTUAL]]-Tabla2[[#This Row],[CONSUMO MENSUAL]]*1.15)</x:f>
        <x:v>#VALUE!</x:v>
      </x:c>
      <x:c r="F209" s="12"/>
      <x:c r="G209" s="11"/>
    </x:row>
    <x:row r="210" ht="15" customHeight="1">
      <x:c r="A210" s="8" t="s">
        <x:v>45</x:v>
      </x:c>
      <x:c r="B210" s="8" t="s">
        <x:v>520</x:v>
      </x:c>
      <x:c r="C210" s="19"/>
      <x:c r="D210" s="19"/>
      <x:c r="E210" s="20" t="e">
        <x:f>-(Tabla2[[#This Row],[STOCK ACTUAL]]-Tabla2[[#This Row],[CONSUMO MENSUAL]]*1.15)</x:f>
        <x:v>#VALUE!</x:v>
      </x:c>
      <x:c r="F210" s="12"/>
      <x:c r="G210" s="11"/>
    </x:row>
    <x:row r="211" ht="15" customHeight="1">
      <x:c r="A211" s="8" t="s">
        <x:v>45</x:v>
      </x:c>
      <x:c r="B211" s="8" t="s">
        <x:v>521</x:v>
      </x:c>
      <x:c r="C211" s="19"/>
      <x:c r="D211" s="19"/>
      <x:c r="E211" s="20" t="e">
        <x:f>-(Tabla2[[#This Row],[STOCK ACTUAL]]-Tabla2[[#This Row],[CONSUMO MENSUAL]]*1.15)</x:f>
        <x:v>#VALUE!</x:v>
      </x:c>
      <x:c r="F211" s="12"/>
      <x:c r="G211" s="11"/>
    </x:row>
    <x:row r="212" ht="15" customHeight="1">
      <x:c r="A212" s="8" t="s">
        <x:v>45</x:v>
      </x:c>
      <x:c r="B212" s="8" t="s">
        <x:v>522</x:v>
      </x:c>
      <x:c r="C212" s="19"/>
      <x:c r="D212" s="19"/>
      <x:c r="E212" s="20" t="e">
        <x:f>-(Tabla2[[#This Row],[STOCK ACTUAL]]-Tabla2[[#This Row],[CONSUMO MENSUAL]]*1.15)</x:f>
        <x:v>#VALUE!</x:v>
      </x:c>
      <x:c r="F212" s="12"/>
      <x:c r="G212" s="11"/>
    </x:row>
    <x:row r="213" ht="15" customHeight="1">
      <x:c r="A213" s="8" t="s">
        <x:v>45</x:v>
      </x:c>
      <x:c r="B213" s="8" t="s">
        <x:v>523</x:v>
      </x:c>
      <x:c r="C213" s="19"/>
      <x:c r="D213" s="19"/>
      <x:c r="E213" s="20" t="e">
        <x:f>-(Tabla2[[#This Row],[STOCK ACTUAL]]-Tabla2[[#This Row],[CONSUMO MENSUAL]]*1.15)</x:f>
        <x:v>#VALUE!</x:v>
      </x:c>
      <x:c r="F213" s="12"/>
      <x:c r="G213" s="11"/>
    </x:row>
    <x:row r="214" ht="15" customHeight="1">
      <x:c r="A214" s="8" t="s">
        <x:v>45</x:v>
      </x:c>
      <x:c r="B214" s="8" t="s">
        <x:v>524</x:v>
      </x:c>
      <x:c r="C214" s="19"/>
      <x:c r="D214" s="19"/>
      <x:c r="E214" s="20" t="e">
        <x:f>-(Tabla2[[#This Row],[STOCK ACTUAL]]-Tabla2[[#This Row],[CONSUMO MENSUAL]]*1.15)</x:f>
        <x:v>#VALUE!</x:v>
      </x:c>
      <x:c r="F214" s="12"/>
      <x:c r="G214" s="11"/>
    </x:row>
    <x:row r="215" ht="15" customHeight="1">
      <x:c r="A215" s="8" t="s">
        <x:v>45</x:v>
      </x:c>
      <x:c r="B215" s="8" t="s">
        <x:v>525</x:v>
      </x:c>
      <x:c r="C215" s="19"/>
      <x:c r="D215" s="19"/>
      <x:c r="E215" s="20" t="e">
        <x:f>-(Tabla2[[#This Row],[STOCK ACTUAL]]-Tabla2[[#This Row],[CONSUMO MENSUAL]]*1.15)</x:f>
        <x:v>#VALUE!</x:v>
      </x:c>
      <x:c r="F215" s="12"/>
      <x:c r="G215" s="11"/>
    </x:row>
    <x:row r="216" ht="15" customHeight="1">
      <x:c r="A216" s="8" t="s">
        <x:v>45</x:v>
      </x:c>
      <x:c r="B216" s="8" t="s">
        <x:v>526</x:v>
      </x:c>
      <x:c r="C216" s="19"/>
      <x:c r="D216" s="19"/>
      <x:c r="E216" s="20" t="e">
        <x:f>-(Tabla2[[#This Row],[STOCK ACTUAL]]-Tabla2[[#This Row],[CONSUMO MENSUAL]]*1.15)</x:f>
        <x:v>#VALUE!</x:v>
      </x:c>
      <x:c r="F216" s="12"/>
      <x:c r="G216" s="11"/>
    </x:row>
    <x:row r="217" ht="15" customHeight="1">
      <x:c r="A217" s="8" t="s">
        <x:v>45</x:v>
      </x:c>
      <x:c r="B217" s="8" t="s">
        <x:v>527</x:v>
      </x:c>
      <x:c r="C217" s="19"/>
      <x:c r="D217" s="19"/>
      <x:c r="E217" s="20" t="e">
        <x:f>-(Tabla2[[#This Row],[STOCK ACTUAL]]-Tabla2[[#This Row],[CONSUMO MENSUAL]]*1.15)</x:f>
        <x:v>#VALUE!</x:v>
      </x:c>
      <x:c r="F217" s="12"/>
      <x:c r="G217" s="11"/>
    </x:row>
    <x:row r="218" ht="15" customHeight="1">
      <x:c r="A218" s="8" t="s">
        <x:v>45</x:v>
      </x:c>
      <x:c r="B218" s="8" t="s">
        <x:v>528</x:v>
      </x:c>
      <x:c r="C218" s="19"/>
      <x:c r="D218" s="19"/>
      <x:c r="E218" s="20" t="e">
        <x:f>-(Tabla2[[#This Row],[STOCK ACTUAL]]-Tabla2[[#This Row],[CONSUMO MENSUAL]]*1.15)</x:f>
        <x:v>#VALUE!</x:v>
      </x:c>
      <x:c r="F218" s="12"/>
      <x:c r="G218" s="11"/>
    </x:row>
    <x:row r="219" ht="15" customHeight="1">
      <x:c r="A219" s="8" t="s">
        <x:v>315</x:v>
      </x:c>
      <x:c r="B219" s="8" t="s">
        <x:v>529</x:v>
      </x:c>
      <x:c r="C219" s="19"/>
      <x:c r="D219" s="19"/>
      <x:c r="E219" s="20" t="e">
        <x:f>-(Tabla2[[#This Row],[STOCK ACTUAL]]-Tabla2[[#This Row],[CONSUMO MENSUAL]]*1.15)</x:f>
        <x:v>#VALUE!</x:v>
      </x:c>
      <x:c r="F219" s="12"/>
      <x:c r="G219" s="11"/>
    </x:row>
    <x:row r="220" ht="15" customHeight="1">
      <x:c r="A220" s="8" t="s">
        <x:v>315</x:v>
      </x:c>
      <x:c r="B220" s="8" t="s">
        <x:v>530</x:v>
      </x:c>
      <x:c r="C220" s="19"/>
      <x:c r="D220" s="19"/>
      <x:c r="E220" s="20" t="e">
        <x:f>-(Tabla2[[#This Row],[STOCK ACTUAL]]-Tabla2[[#This Row],[CONSUMO MENSUAL]]*1.15)</x:f>
        <x:v>#VALUE!</x:v>
      </x:c>
      <x:c r="F220" s="12"/>
      <x:c r="G220" s="11"/>
    </x:row>
    <x:row r="221" ht="15" customHeight="1">
      <x:c r="A221" s="8" t="s">
        <x:v>45</x:v>
      </x:c>
      <x:c r="B221" s="21" t="s">
        <x:v>531</x:v>
      </x:c>
      <x:c r="C221" s="19"/>
      <x:c r="D221" s="19"/>
      <x:c r="E221" s="20" t="e">
        <x:f>-(Tabla2[[#This Row],[STOCK ACTUAL]]-Tabla2[[#This Row],[CONSUMO MENSUAL]]*1.15)</x:f>
        <x:v>#VALUE!</x:v>
      </x:c>
      <x:c r="F221" s="12"/>
      <x:c r="G221" s="11"/>
    </x:row>
    <x:row r="222" ht="15" customHeight="1">
      <x:c r="A222" s="8" t="s">
        <x:v>334</x:v>
      </x:c>
      <x:c r="B222" s="8" t="s">
        <x:v>532</x:v>
      </x:c>
      <x:c r="C222" s="19"/>
      <x:c r="D222" s="19"/>
      <x:c r="E222" s="20" t="e">
        <x:f>-(Tabla2[[#This Row],[STOCK ACTUAL]]-Tabla2[[#This Row],[CONSUMO MENSUAL]]*1.15)</x:f>
        <x:v>#VALUE!</x:v>
      </x:c>
      <x:c r="F222" s="12"/>
      <x:c r="G222" s="11"/>
    </x:row>
    <x:row r="223" ht="15" customHeight="1">
      <x:c r="A223" s="8" t="s">
        <x:v>45</x:v>
      </x:c>
      <x:c r="B223" s="8" t="s">
        <x:v>533</x:v>
      </x:c>
      <x:c r="C223" s="19"/>
      <x:c r="D223" s="19"/>
      <x:c r="E223" s="20" t="e">
        <x:f>-(Tabla2[[#This Row],[STOCK ACTUAL]]-Tabla2[[#This Row],[CONSUMO MENSUAL]]*1.15)</x:f>
        <x:v>#VALUE!</x:v>
      </x:c>
      <x:c r="F223" s="12"/>
      <x:c r="G223" s="11"/>
    </x:row>
    <x:row r="224" ht="15" customHeight="1">
      <x:c r="A224" s="8" t="s">
        <x:v>45</x:v>
      </x:c>
      <x:c r="B224" s="8" t="s">
        <x:v>534</x:v>
      </x:c>
      <x:c r="C224" s="19"/>
      <x:c r="D224" s="19"/>
      <x:c r="E224" s="20" t="e">
        <x:f>-(Tabla2[[#This Row],[STOCK ACTUAL]]-Tabla2[[#This Row],[CONSUMO MENSUAL]]*1.15)</x:f>
        <x:v>#VALUE!</x:v>
      </x:c>
      <x:c r="F224" s="12"/>
      <x:c r="G224" s="11"/>
    </x:row>
    <x:row r="225" ht="15" customHeight="1">
      <x:c r="A225" s="8" t="s">
        <x:v>456</x:v>
      </x:c>
      <x:c r="B225" s="8" t="s">
        <x:v>535</x:v>
      </x:c>
      <x:c r="C225" s="19"/>
      <x:c r="D225" s="19"/>
      <x:c r="E225" s="20" t="e">
        <x:f>-(Tabla2[[#This Row],[STOCK ACTUAL]]-Tabla2[[#This Row],[CONSUMO MENSUAL]]*1.15)</x:f>
        <x:v>#VALUE!</x:v>
      </x:c>
      <x:c r="F225" s="12"/>
      <x:c r="G225" s="11"/>
    </x:row>
    <x:row r="226" ht="15" customHeight="1">
      <x:c r="A226" s="8" t="s">
        <x:v>45</x:v>
      </x:c>
      <x:c r="B226" s="8" t="s">
        <x:v>536</x:v>
      </x:c>
      <x:c r="C226" s="19"/>
      <x:c r="D226" s="19"/>
      <x:c r="E226" s="20" t="e">
        <x:f>-(Tabla2[[#This Row],[STOCK ACTUAL]]-Tabla2[[#This Row],[CONSUMO MENSUAL]]*1.15)</x:f>
        <x:v>#VALUE!</x:v>
      </x:c>
      <x:c r="F226" s="12"/>
      <x:c r="G226" s="11"/>
    </x:row>
    <x:row r="227" ht="15" customHeight="1">
      <x:c r="A227" s="8" t="s">
        <x:v>15</x:v>
      </x:c>
      <x:c r="B227" s="8" t="s">
        <x:v>537</x:v>
      </x:c>
      <x:c r="C227" s="19"/>
      <x:c r="D227" s="19"/>
      <x:c r="E227" s="20" t="e">
        <x:f>-(Tabla2[[#This Row],[STOCK ACTUAL]]-Tabla2[[#This Row],[CONSUMO MENSUAL]]*1.15)</x:f>
        <x:v>#VALUE!</x:v>
      </x:c>
      <x:c r="F227" s="12"/>
      <x:c r="G227" s="11"/>
    </x:row>
    <x:row r="228" ht="15" customHeight="1">
      <x:c r="A228" s="8" t="s">
        <x:v>45</x:v>
      </x:c>
      <x:c r="B228" s="8" t="s">
        <x:v>538</x:v>
      </x:c>
      <x:c r="C228" s="19"/>
      <x:c r="D228" s="19"/>
      <x:c r="E228" s="20" t="e">
        <x:f>-(Tabla2[[#This Row],[STOCK ACTUAL]]-Tabla2[[#This Row],[CONSUMO MENSUAL]]*1.15)</x:f>
        <x:v>#VALUE!</x:v>
      </x:c>
      <x:c r="F228" s="12"/>
      <x:c r="G228" s="11"/>
    </x:row>
    <x:row r="229" ht="15" customHeight="1">
      <x:c r="A229" s="8" t="s">
        <x:v>45</x:v>
      </x:c>
      <x:c r="B229" s="8" t="s">
        <x:v>539</x:v>
      </x:c>
      <x:c r="C229" s="19"/>
      <x:c r="D229" s="19"/>
      <x:c r="E229" s="20" t="e">
        <x:f>-(Tabla2[[#This Row],[STOCK ACTUAL]]-Tabla2[[#This Row],[CONSUMO MENSUAL]]*1.15)</x:f>
        <x:v>#VALUE!</x:v>
      </x:c>
      <x:c r="F229" s="12"/>
      <x:c r="G229" s="11"/>
    </x:row>
    <x:row r="230" ht="15" customHeight="1">
      <x:c r="A230" s="8" t="s">
        <x:v>45</x:v>
      </x:c>
      <x:c r="B230" s="8" t="s">
        <x:v>540</x:v>
      </x:c>
      <x:c r="C230" s="19"/>
      <x:c r="D230" s="19"/>
      <x:c r="E230" s="20" t="e">
        <x:f>-(Tabla2[[#This Row],[STOCK ACTUAL]]-Tabla2[[#This Row],[CONSUMO MENSUAL]]*1.15)</x:f>
        <x:v>#VALUE!</x:v>
      </x:c>
      <x:c r="F230" s="12"/>
      <x:c r="G230" s="11"/>
    </x:row>
    <x:row r="231" ht="15" customHeight="1">
      <x:c r="A231" s="8" t="s">
        <x:v>45</x:v>
      </x:c>
      <x:c r="B231" s="8" t="s">
        <x:v>541</x:v>
      </x:c>
      <x:c r="C231" s="19"/>
      <x:c r="D231" s="19"/>
      <x:c r="E231" s="20" t="e">
        <x:f>-(Tabla2[[#This Row],[STOCK ACTUAL]]-Tabla2[[#This Row],[CONSUMO MENSUAL]]*1.15)</x:f>
        <x:v>#VALUE!</x:v>
      </x:c>
      <x:c r="F231" s="12"/>
      <x:c r="G231" s="11"/>
    </x:row>
    <x:row r="232" ht="15" customHeight="1">
      <x:c r="A232" s="8" t="s">
        <x:v>45</x:v>
      </x:c>
      <x:c r="B232" s="8" t="s">
        <x:v>542</x:v>
      </x:c>
      <x:c r="C232" s="19"/>
      <x:c r="D232" s="19"/>
      <x:c r="E232" s="20" t="e">
        <x:f>-(Tabla2[[#This Row],[STOCK ACTUAL]]-Tabla2[[#This Row],[CONSUMO MENSUAL]]*1.15)</x:f>
        <x:v>#VALUE!</x:v>
      </x:c>
      <x:c r="F232" s="12"/>
      <x:c r="G232" s="11"/>
    </x:row>
    <x:row r="233" ht="15" customHeight="1">
      <x:c r="A233" s="8" t="s">
        <x:v>45</x:v>
      </x:c>
      <x:c r="B233" s="8" t="s">
        <x:v>543</x:v>
      </x:c>
      <x:c r="C233" s="19"/>
      <x:c r="D233" s="19"/>
      <x:c r="E233" s="20" t="e">
        <x:f>-(Tabla2[[#This Row],[STOCK ACTUAL]]-Tabla2[[#This Row],[CONSUMO MENSUAL]]*1.15)</x:f>
        <x:v>#VALUE!</x:v>
      </x:c>
      <x:c r="F233" s="12"/>
      <x:c r="G233" s="11"/>
    </x:row>
    <x:row r="234" ht="15" customHeight="1">
      <x:c r="A234" s="8" t="s">
        <x:v>45</x:v>
      </x:c>
      <x:c r="B234" s="8" t="s">
        <x:v>544</x:v>
      </x:c>
      <x:c r="C234" s="19"/>
      <x:c r="D234" s="19"/>
      <x:c r="E234" s="20" t="e">
        <x:f>-(Tabla2[[#This Row],[STOCK ACTUAL]]-Tabla2[[#This Row],[CONSUMO MENSUAL]]*1.15)</x:f>
        <x:v>#VALUE!</x:v>
      </x:c>
      <x:c r="F234" s="12"/>
      <x:c r="G234" s="11"/>
    </x:row>
    <x:row r="235" ht="15" customHeight="1">
      <x:c r="A235" s="8" t="s">
        <x:v>45</x:v>
      </x:c>
      <x:c r="B235" s="8" t="s">
        <x:v>545</x:v>
      </x:c>
      <x:c r="C235" s="19"/>
      <x:c r="D235" s="19"/>
      <x:c r="E235" s="20" t="e">
        <x:f>-(Tabla2[[#This Row],[STOCK ACTUAL]]-Tabla2[[#This Row],[CONSUMO MENSUAL]]*1.15)</x:f>
        <x:v>#VALUE!</x:v>
      </x:c>
      <x:c r="F235" s="12"/>
      <x:c r="G235" s="11"/>
    </x:row>
    <x:row r="236" ht="15" customHeight="1">
      <x:c r="A236" s="8" t="s">
        <x:v>45</x:v>
      </x:c>
      <x:c r="B236" s="8" t="s">
        <x:v>546</x:v>
      </x:c>
      <x:c r="C236" s="19"/>
      <x:c r="D236" s="19"/>
      <x:c r="E236" s="20" t="e">
        <x:f>-(Tabla2[[#This Row],[STOCK ACTUAL]]-Tabla2[[#This Row],[CONSUMO MENSUAL]]*1.15)</x:f>
        <x:v>#VALUE!</x:v>
      </x:c>
      <x:c r="F236" s="12"/>
      <x:c r="G236" s="11"/>
    </x:row>
    <x:row r="237" ht="15" customHeight="1">
      <x:c r="A237" s="8" t="s">
        <x:v>45</x:v>
      </x:c>
      <x:c r="B237" s="8" t="s">
        <x:v>547</x:v>
      </x:c>
      <x:c r="C237" s="19"/>
      <x:c r="D237" s="19"/>
      <x:c r="E237" s="20" t="e">
        <x:f>-(Tabla2[[#This Row],[STOCK ACTUAL]]-Tabla2[[#This Row],[CONSUMO MENSUAL]]*1.15)</x:f>
        <x:v>#VALUE!</x:v>
      </x:c>
      <x:c r="F237" s="12"/>
      <x:c r="G237" s="11"/>
    </x:row>
    <x:row r="238" ht="15" customHeight="1">
      <x:c r="A238" s="8" t="s">
        <x:v>45</x:v>
      </x:c>
      <x:c r="B238" s="8" t="s">
        <x:v>548</x:v>
      </x:c>
      <x:c r="C238" s="19"/>
      <x:c r="D238" s="19"/>
      <x:c r="E238" s="20" t="e">
        <x:f>-(Tabla2[[#This Row],[STOCK ACTUAL]]-Tabla2[[#This Row],[CONSUMO MENSUAL]]*1.15)</x:f>
        <x:v>#VALUE!</x:v>
      </x:c>
      <x:c r="F238" s="12"/>
      <x:c r="G238" s="11"/>
    </x:row>
    <x:row r="239" ht="15" customHeight="1">
      <x:c r="A239" s="8" t="s">
        <x:v>334</x:v>
      </x:c>
      <x:c r="B239" s="8" t="s">
        <x:v>549</x:v>
      </x:c>
      <x:c r="C239" s="19"/>
      <x:c r="D239" s="19"/>
      <x:c r="E239" s="20" t="e">
        <x:f>-(Tabla2[[#This Row],[STOCK ACTUAL]]-Tabla2[[#This Row],[CONSUMO MENSUAL]]*1.15)</x:f>
        <x:v>#VALUE!</x:v>
      </x:c>
      <x:c r="F239" s="12"/>
      <x:c r="G239" s="11"/>
    </x:row>
    <x:row r="240" ht="15" customHeight="1">
      <x:c r="A240" s="8" t="s">
        <x:v>45</x:v>
      </x:c>
      <x:c r="B240" s="8" t="s">
        <x:v>550</x:v>
      </x:c>
      <x:c r="C240" s="19"/>
      <x:c r="D240" s="19"/>
      <x:c r="E240" s="20" t="e">
        <x:f>-(Tabla2[[#This Row],[STOCK ACTUAL]]-Tabla2[[#This Row],[CONSUMO MENSUAL]]*1.15)</x:f>
        <x:v>#VALUE!</x:v>
      </x:c>
      <x:c r="F240" s="12"/>
      <x:c r="G240" s="11"/>
    </x:row>
    <x:row r="241" ht="15" customHeight="1">
      <x:c r="A241" s="8" t="s">
        <x:v>45</x:v>
      </x:c>
      <x:c r="B241" s="8" t="s">
        <x:v>551</x:v>
      </x:c>
      <x:c r="C241" s="19"/>
      <x:c r="D241" s="19"/>
      <x:c r="E241" s="20" t="e">
        <x:f>-(Tabla2[[#This Row],[STOCK ACTUAL]]-Tabla2[[#This Row],[CONSUMO MENSUAL]]*1.15)</x:f>
        <x:v>#VALUE!</x:v>
      </x:c>
      <x:c r="F241" s="12"/>
      <x:c r="G241" s="11"/>
    </x:row>
    <x:row r="242" ht="15" customHeight="1">
      <x:c r="A242" s="8" t="s">
        <x:v>45</x:v>
      </x:c>
      <x:c r="B242" s="8" t="s">
        <x:v>552</x:v>
      </x:c>
      <x:c r="C242" s="19"/>
      <x:c r="D242" s="19"/>
      <x:c r="E242" s="20" t="e">
        <x:f>-(Tabla2[[#This Row],[STOCK ACTUAL]]-Tabla2[[#This Row],[CONSUMO MENSUAL]]*1.15)</x:f>
        <x:v>#VALUE!</x:v>
      </x:c>
      <x:c r="F242" s="12"/>
      <x:c r="G242" s="11"/>
    </x:row>
    <x:row r="243" ht="15" customHeight="1">
      <x:c r="A243" s="8" t="s">
        <x:v>553</x:v>
      </x:c>
      <x:c r="B243" s="8" t="s">
        <x:v>554</x:v>
      </x:c>
      <x:c r="C243" s="19"/>
      <x:c r="D243" s="19"/>
      <x:c r="E243" s="20" t="e">
        <x:f>-(Tabla2[[#This Row],[STOCK ACTUAL]]-Tabla2[[#This Row],[CONSUMO MENSUAL]]*1.15)</x:f>
        <x:v>#VALUE!</x:v>
      </x:c>
      <x:c r="F243" s="12"/>
      <x:c r="G243" s="11"/>
    </x:row>
    <x:row r="244" ht="15" customHeight="1">
      <x:c r="A244" s="8" t="s">
        <x:v>45</x:v>
      </x:c>
      <x:c r="B244" s="22" t="s">
        <x:v>555</x:v>
      </x:c>
      <x:c r="C244" s="19"/>
      <x:c r="D244" s="19"/>
      <x:c r="E244" s="20" t="e">
        <x:f>-(Tabla2[[#This Row],[STOCK ACTUAL]]-Tabla2[[#This Row],[CONSUMO MENSUAL]]*1.15)</x:f>
        <x:v>#VALUE!</x:v>
      </x:c>
      <x:c r="F244" s="12"/>
      <x:c r="G244" s="11"/>
    </x:row>
    <x:row r="245" ht="15" customHeight="1">
      <x:c r="A245" s="8" t="s">
        <x:v>45</x:v>
      </x:c>
      <x:c r="B245" s="8" t="s">
        <x:v>556</x:v>
      </x:c>
      <x:c r="C245" s="19"/>
      <x:c r="D245" s="19"/>
      <x:c r="E245" s="20" t="e">
        <x:f>-(Tabla2[[#This Row],[STOCK ACTUAL]]-Tabla2[[#This Row],[CONSUMO MENSUAL]]*1.15)</x:f>
        <x:v>#VALUE!</x:v>
      </x:c>
      <x:c r="F245" s="12"/>
      <x:c r="G245" s="11"/>
    </x:row>
    <x:row r="246" ht="15" customHeight="1">
      <x:c r="A246" s="8" t="s">
        <x:v>45</x:v>
      </x:c>
      <x:c r="B246" s="8" t="s">
        <x:v>557</x:v>
      </x:c>
      <x:c r="C246" s="19"/>
      <x:c r="D246" s="19"/>
      <x:c r="E246" s="20" t="e">
        <x:f>-(Tabla2[[#This Row],[STOCK ACTUAL]]-Tabla2[[#This Row],[CONSUMO MENSUAL]]*1.15)</x:f>
        <x:v>#VALUE!</x:v>
      </x:c>
      <x:c r="F246" s="12"/>
      <x:c r="G246" s="11"/>
    </x:row>
    <x:row r="247" ht="15" customHeight="1">
      <x:c r="A247" s="8" t="s">
        <x:v>45</x:v>
      </x:c>
      <x:c r="B247" s="8" t="s">
        <x:v>558</x:v>
      </x:c>
      <x:c r="C247" s="19"/>
      <x:c r="D247" s="19"/>
      <x:c r="E247" s="20" t="e">
        <x:f>-(Tabla2[[#This Row],[STOCK ACTUAL]]-Tabla2[[#This Row],[CONSUMO MENSUAL]]*1.15)</x:f>
        <x:v>#VALUE!</x:v>
      </x:c>
      <x:c r="F247" s="12"/>
      <x:c r="G247" s="11"/>
    </x:row>
    <x:row r="248" ht="15" customHeight="1">
      <x:c r="A248" s="8" t="s">
        <x:v>45</x:v>
      </x:c>
      <x:c r="B248" s="8" t="s">
        <x:v>559</x:v>
      </x:c>
      <x:c r="C248" s="19"/>
      <x:c r="D248" s="19"/>
      <x:c r="E248" s="20" t="e">
        <x:f>-(Tabla2[[#This Row],[STOCK ACTUAL]]-Tabla2[[#This Row],[CONSUMO MENSUAL]]*1.15)</x:f>
        <x:v>#VALUE!</x:v>
      </x:c>
      <x:c r="F248" s="12"/>
      <x:c r="G248" s="11"/>
    </x:row>
    <x:row r="249" ht="15" customHeight="1">
      <x:c r="A249" s="8" t="s">
        <x:v>45</x:v>
      </x:c>
      <x:c r="B249" s="8" t="s">
        <x:v>560</x:v>
      </x:c>
      <x:c r="C249" s="19"/>
      <x:c r="D249" s="19"/>
      <x:c r="E249" s="20" t="e">
        <x:f>-(Tabla2[[#This Row],[STOCK ACTUAL]]-Tabla2[[#This Row],[CONSUMO MENSUAL]]*1.15)</x:f>
        <x:v>#VALUE!</x:v>
      </x:c>
      <x:c r="F249" s="12"/>
      <x:c r="G249" s="11"/>
    </x:row>
    <x:row r="250" ht="15" customHeight="1">
      <x:c r="A250" s="8" t="s">
        <x:v>45</x:v>
      </x:c>
      <x:c r="B250" s="8" t="s">
        <x:v>561</x:v>
      </x:c>
      <x:c r="C250" s="19"/>
      <x:c r="D250" s="19"/>
      <x:c r="E250" s="20" t="e">
        <x:f>-(Tabla2[[#This Row],[STOCK ACTUAL]]-Tabla2[[#This Row],[CONSUMO MENSUAL]]*1.15)</x:f>
        <x:v>#VALUE!</x:v>
      </x:c>
      <x:c r="F250" s="12"/>
      <x:c r="G250" s="11"/>
    </x:row>
    <x:row r="251" ht="15" customHeight="1">
      <x:c r="A251" s="8" t="s">
        <x:v>45</x:v>
      </x:c>
      <x:c r="B251" s="8" t="s">
        <x:v>562</x:v>
      </x:c>
      <x:c r="C251" s="19"/>
      <x:c r="D251" s="19"/>
      <x:c r="E251" s="20" t="e">
        <x:f>-(Tabla2[[#This Row],[STOCK ACTUAL]]-Tabla2[[#This Row],[CONSUMO MENSUAL]]*1.15)</x:f>
        <x:v>#VALUE!</x:v>
      </x:c>
      <x:c r="F251" s="12"/>
      <x:c r="G251" s="11"/>
    </x:row>
    <x:row r="252" ht="15" customHeight="1">
      <x:c r="A252" s="8" t="s">
        <x:v>45</x:v>
      </x:c>
      <x:c r="B252" s="8" t="s">
        <x:v>563</x:v>
      </x:c>
      <x:c r="C252" s="19"/>
      <x:c r="D252" s="19"/>
      <x:c r="E252" s="20" t="e">
        <x:f>-(Tabla2[[#This Row],[STOCK ACTUAL]]-Tabla2[[#This Row],[CONSUMO MENSUAL]]*1.15)</x:f>
        <x:v>#VALUE!</x:v>
      </x:c>
      <x:c r="F252" s="12"/>
      <x:c r="G252" s="11"/>
    </x:row>
    <x:row r="253" ht="15" customHeight="1">
      <x:c r="A253" s="8" t="s">
        <x:v>45</x:v>
      </x:c>
      <x:c r="B253" s="8" t="s">
        <x:v>564</x:v>
      </x:c>
      <x:c r="C253" s="19"/>
      <x:c r="D253" s="19"/>
      <x:c r="E253" s="20" t="e">
        <x:f>-(Tabla2[[#This Row],[STOCK ACTUAL]]-Tabla2[[#This Row],[CONSUMO MENSUAL]]*1.15)</x:f>
        <x:v>#VALUE!</x:v>
      </x:c>
      <x:c r="F253" s="12"/>
      <x:c r="G253" s="11"/>
    </x:row>
    <x:row r="254" ht="15" customHeight="1">
      <x:c r="A254" s="8" t="s">
        <x:v>45</x:v>
      </x:c>
      <x:c r="B254" s="8" t="s">
        <x:v>565</x:v>
      </x:c>
      <x:c r="C254" s="19"/>
      <x:c r="D254" s="19"/>
      <x:c r="E254" s="20" t="e">
        <x:f>-(Tabla2[[#This Row],[STOCK ACTUAL]]-Tabla2[[#This Row],[CONSUMO MENSUAL]]*1.15)</x:f>
        <x:v>#VALUE!</x:v>
      </x:c>
      <x:c r="F254" s="12"/>
      <x:c r="G254" s="11"/>
    </x:row>
    <x:row r="255" ht="15" customHeight="1">
      <x:c r="A255" s="8" t="s">
        <x:v>45</x:v>
      </x:c>
      <x:c r="B255" s="8" t="s">
        <x:v>566</x:v>
      </x:c>
      <x:c r="C255" s="19"/>
      <x:c r="D255" s="19"/>
      <x:c r="E255" s="20" t="e">
        <x:f>-(Tabla2[[#This Row],[STOCK ACTUAL]]-Tabla2[[#This Row],[CONSUMO MENSUAL]]*1.15)</x:f>
        <x:v>#VALUE!</x:v>
      </x:c>
      <x:c r="F255" s="12"/>
      <x:c r="G255" s="11"/>
    </x:row>
    <x:row r="256" ht="15" customHeight="1">
      <x:c r="A256" s="8" t="s">
        <x:v>45</x:v>
      </x:c>
      <x:c r="B256" s="8" t="s">
        <x:v>567</x:v>
      </x:c>
      <x:c r="C256" s="19"/>
      <x:c r="D256" s="19"/>
      <x:c r="E256" s="20" t="e">
        <x:f>-(Tabla2[[#This Row],[STOCK ACTUAL]]-Tabla2[[#This Row],[CONSUMO MENSUAL]]*1.15)</x:f>
        <x:v>#VALUE!</x:v>
      </x:c>
      <x:c r="F256" s="12"/>
      <x:c r="G256" s="11"/>
    </x:row>
    <x:row r="257" ht="15" customHeight="1">
      <x:c r="A257" s="8" t="s">
        <x:v>45</x:v>
      </x:c>
      <x:c r="B257" s="8" t="s">
        <x:v>568</x:v>
      </x:c>
      <x:c r="C257" s="19"/>
      <x:c r="D257" s="19"/>
      <x:c r="E257" s="20" t="e">
        <x:f>-(Tabla2[[#This Row],[STOCK ACTUAL]]-Tabla2[[#This Row],[CONSUMO MENSUAL]]*1.15)</x:f>
        <x:v>#VALUE!</x:v>
      </x:c>
      <x:c r="F257" s="12"/>
      <x:c r="G257" s="11"/>
    </x:row>
    <x:row r="258" ht="15" customHeight="1">
      <x:c r="A258" s="8" t="s">
        <x:v>45</x:v>
      </x:c>
      <x:c r="B258" s="8" t="s">
        <x:v>569</x:v>
      </x:c>
      <x:c r="C258" s="19"/>
      <x:c r="D258" s="19"/>
      <x:c r="E258" s="20" t="e">
        <x:f>-(Tabla2[[#This Row],[STOCK ACTUAL]]-Tabla2[[#This Row],[CONSUMO MENSUAL]]*1.15)</x:f>
        <x:v>#VALUE!</x:v>
      </x:c>
      <x:c r="F258" s="12"/>
      <x:c r="G258" s="11"/>
    </x:row>
    <x:row r="259" ht="15" customHeight="1">
      <x:c r="A259" s="8" t="s">
        <x:v>45</x:v>
      </x:c>
      <x:c r="B259" s="8" t="s">
        <x:v>570</x:v>
      </x:c>
      <x:c r="C259" s="19"/>
      <x:c r="D259" s="19"/>
      <x:c r="E259" s="20" t="e">
        <x:f>-(Tabla2[[#This Row],[STOCK ACTUAL]]-Tabla2[[#This Row],[CONSUMO MENSUAL]]*1.15)</x:f>
        <x:v>#VALUE!</x:v>
      </x:c>
      <x:c r="F259" s="12"/>
      <x:c r="G259" s="11"/>
    </x:row>
    <x:row r="260" ht="15" customHeight="1">
      <x:c r="A260" s="8" t="s">
        <x:v>45</x:v>
      </x:c>
      <x:c r="B260" s="8" t="s">
        <x:v>571</x:v>
      </x:c>
      <x:c r="C260" s="19"/>
      <x:c r="D260" s="19"/>
      <x:c r="E260" s="20" t="e">
        <x:f>-(Tabla2[[#This Row],[STOCK ACTUAL]]-Tabla2[[#This Row],[CONSUMO MENSUAL]]*1.15)</x:f>
        <x:v>#VALUE!</x:v>
      </x:c>
      <x:c r="F260" s="12"/>
      <x:c r="G260" s="11"/>
    </x:row>
    <x:row r="261" ht="15" customHeight="1">
      <x:c r="A261" s="8" t="s">
        <x:v>45</x:v>
      </x:c>
      <x:c r="B261" s="8" t="s">
        <x:v>572</x:v>
      </x:c>
      <x:c r="C261" s="19"/>
      <x:c r="D261" s="19"/>
      <x:c r="E261" s="20" t="e">
        <x:f>-(Tabla2[[#This Row],[STOCK ACTUAL]]-Tabla2[[#This Row],[CONSUMO MENSUAL]]*1.15)</x:f>
        <x:v>#VALUE!</x:v>
      </x:c>
      <x:c r="F261" s="12"/>
      <x:c r="G261" s="11"/>
    </x:row>
    <x:row r="262" ht="15" customHeight="1">
      <x:c r="A262" s="8" t="s">
        <x:v>45</x:v>
      </x:c>
      <x:c r="B262" s="8" t="s">
        <x:v>573</x:v>
      </x:c>
      <x:c r="C262" s="19"/>
      <x:c r="D262" s="19"/>
      <x:c r="E262" s="20" t="e">
        <x:f>-(Tabla2[[#This Row],[STOCK ACTUAL]]-Tabla2[[#This Row],[CONSUMO MENSUAL]]*1.15)</x:f>
        <x:v>#VALUE!</x:v>
      </x:c>
      <x:c r="F262" s="12"/>
      <x:c r="G262" s="11"/>
    </x:row>
    <x:row r="263" ht="15" customHeight="1">
      <x:c r="A263" s="8" t="s">
        <x:v>45</x:v>
      </x:c>
      <x:c r="B263" s="8" t="s">
        <x:v>574</x:v>
      </x:c>
      <x:c r="C263" s="19"/>
      <x:c r="D263" s="19"/>
      <x:c r="E263" s="20" t="e">
        <x:f>-(Tabla2[[#This Row],[STOCK ACTUAL]]-Tabla2[[#This Row],[CONSUMO MENSUAL]]*1.15)</x:f>
        <x:v>#VALUE!</x:v>
      </x:c>
      <x:c r="F263" s="12"/>
      <x:c r="G263" s="11"/>
    </x:row>
    <x:row r="264" ht="15" customHeight="1">
      <x:c r="A264" s="8" t="s">
        <x:v>45</x:v>
      </x:c>
      <x:c r="B264" s="8" t="s">
        <x:v>575</x:v>
      </x:c>
      <x:c r="C264" s="19"/>
      <x:c r="D264" s="19"/>
      <x:c r="E264" s="20" t="e">
        <x:f>-(Tabla2[[#This Row],[STOCK ACTUAL]]-Tabla2[[#This Row],[CONSUMO MENSUAL]]*1.15)</x:f>
        <x:v>#VALUE!</x:v>
      </x:c>
      <x:c r="F264" s="12"/>
      <x:c r="G264" s="11"/>
    </x:row>
    <x:row r="265" ht="15" customHeight="1">
      <x:c r="A265" s="8" t="s">
        <x:v>45</x:v>
      </x:c>
      <x:c r="B265" s="8" t="s">
        <x:v>576</x:v>
      </x:c>
      <x:c r="C265" s="19"/>
      <x:c r="D265" s="19"/>
      <x:c r="E265" s="20" t="e">
        <x:f>-(Tabla2[[#This Row],[STOCK ACTUAL]]-Tabla2[[#This Row],[CONSUMO MENSUAL]]*1.15)</x:f>
        <x:v>#VALUE!</x:v>
      </x:c>
      <x:c r="F265" s="12"/>
      <x:c r="G265" s="11"/>
    </x:row>
    <x:row r="266" ht="15" customHeight="1">
      <x:c r="A266" s="8" t="s">
        <x:v>45</x:v>
      </x:c>
      <x:c r="B266" s="8" t="s">
        <x:v>577</x:v>
      </x:c>
      <x:c r="C266" s="19"/>
      <x:c r="D266" s="19"/>
      <x:c r="E266" s="20" t="e">
        <x:f>-(Tabla2[[#This Row],[STOCK ACTUAL]]-Tabla2[[#This Row],[CONSUMO MENSUAL]]*1.15)</x:f>
        <x:v>#VALUE!</x:v>
      </x:c>
      <x:c r="F266" s="12"/>
      <x:c r="G266" s="11"/>
    </x:row>
    <x:row r="267" ht="15" customHeight="1">
      <x:c r="A267" s="8" t="s">
        <x:v>45</x:v>
      </x:c>
      <x:c r="B267" s="8" t="s">
        <x:v>578</x:v>
      </x:c>
      <x:c r="C267" s="19"/>
      <x:c r="D267" s="19"/>
      <x:c r="E267" s="20" t="e">
        <x:f>-(Tabla2[[#This Row],[STOCK ACTUAL]]-Tabla2[[#This Row],[CONSUMO MENSUAL]]*1.15)</x:f>
        <x:v>#VALUE!</x:v>
      </x:c>
      <x:c r="F267" s="12"/>
      <x:c r="G267" s="11"/>
    </x:row>
    <x:row r="268" ht="15" customHeight="1">
      <x:c r="A268" s="8" t="s">
        <x:v>45</x:v>
      </x:c>
      <x:c r="B268" s="8" t="s">
        <x:v>579</x:v>
      </x:c>
      <x:c r="C268" s="19"/>
      <x:c r="D268" s="19"/>
      <x:c r="E268" s="20" t="e">
        <x:f>-(Tabla2[[#This Row],[STOCK ACTUAL]]-Tabla2[[#This Row],[CONSUMO MENSUAL]]*1.15)</x:f>
        <x:v>#VALUE!</x:v>
      </x:c>
      <x:c r="F268" s="12"/>
      <x:c r="G268" s="11"/>
    </x:row>
    <x:row r="269" ht="15" customHeight="1">
      <x:c r="A269" s="8" t="s">
        <x:v>45</x:v>
      </x:c>
      <x:c r="B269" s="8" t="s">
        <x:v>580</x:v>
      </x:c>
      <x:c r="C269" s="19"/>
      <x:c r="D269" s="19"/>
      <x:c r="E269" s="20" t="e">
        <x:f>-(Tabla2[[#This Row],[STOCK ACTUAL]]-Tabla2[[#This Row],[CONSUMO MENSUAL]]*1.15)</x:f>
        <x:v>#VALUE!</x:v>
      </x:c>
      <x:c r="F269" s="12"/>
      <x:c r="G269" s="11"/>
    </x:row>
    <x:row r="270" ht="15" customHeight="1">
      <x:c r="A270" s="8" t="s">
        <x:v>45</x:v>
      </x:c>
      <x:c r="B270" s="8" t="s">
        <x:v>581</x:v>
      </x:c>
      <x:c r="C270" s="19"/>
      <x:c r="D270" s="19"/>
      <x:c r="E270" s="20" t="e">
        <x:f>-(Tabla2[[#This Row],[STOCK ACTUAL]]-Tabla2[[#This Row],[CONSUMO MENSUAL]]*1.15)</x:f>
        <x:v>#VALUE!</x:v>
      </x:c>
      <x:c r="F270" s="12"/>
      <x:c r="G270" s="11"/>
    </x:row>
    <x:row r="271" ht="15" customHeight="1">
      <x:c r="A271" s="8" t="s">
        <x:v>45</x:v>
      </x:c>
      <x:c r="B271" s="8" t="s">
        <x:v>582</x:v>
      </x:c>
      <x:c r="C271" s="19"/>
      <x:c r="D271" s="19"/>
      <x:c r="E271" s="20" t="e">
        <x:f>-(Tabla2[[#This Row],[STOCK ACTUAL]]-Tabla2[[#This Row],[CONSUMO MENSUAL]]*1.15)</x:f>
        <x:v>#VALUE!</x:v>
      </x:c>
      <x:c r="F271" s="12"/>
      <x:c r="G271" s="11"/>
    </x:row>
    <x:row r="272" ht="15" customHeight="1">
      <x:c r="A272" s="8" t="s">
        <x:v>45</x:v>
      </x:c>
      <x:c r="B272" s="8" t="s">
        <x:v>583</x:v>
      </x:c>
      <x:c r="C272" s="19"/>
      <x:c r="D272" s="19"/>
      <x:c r="E272" s="20" t="e">
        <x:f>-(Tabla2[[#This Row],[STOCK ACTUAL]]-Tabla2[[#This Row],[CONSUMO MENSUAL]]*1.15)</x:f>
        <x:v>#VALUE!</x:v>
      </x:c>
      <x:c r="F272" s="12"/>
      <x:c r="G272" s="11"/>
    </x:row>
    <x:row r="273" ht="15" customHeight="1">
      <x:c r="A273" s="8" t="s">
        <x:v>45</x:v>
      </x:c>
      <x:c r="B273" s="8" t="s">
        <x:v>584</x:v>
      </x:c>
      <x:c r="C273" s="19"/>
      <x:c r="D273" s="19"/>
      <x:c r="E273" s="20" t="e">
        <x:f>-(Tabla2[[#This Row],[STOCK ACTUAL]]-Tabla2[[#This Row],[CONSUMO MENSUAL]]*1.15)</x:f>
        <x:v>#VALUE!</x:v>
      </x:c>
      <x:c r="F273" s="12"/>
      <x:c r="G273" s="11"/>
    </x:row>
    <x:row r="274" ht="15" customHeight="1">
      <x:c r="A274" s="8" t="s">
        <x:v>45</x:v>
      </x:c>
      <x:c r="B274" s="8" t="s">
        <x:v>585</x:v>
      </x:c>
      <x:c r="C274" s="19"/>
      <x:c r="D274" s="19"/>
      <x:c r="E274" s="20" t="e">
        <x:f>-(Tabla2[[#This Row],[STOCK ACTUAL]]-Tabla2[[#This Row],[CONSUMO MENSUAL]]*1.15)</x:f>
        <x:v>#VALUE!</x:v>
      </x:c>
      <x:c r="F274" s="12"/>
      <x:c r="G274" s="11"/>
    </x:row>
    <x:row r="275" ht="15" customHeight="1">
      <x:c r="A275" s="8" t="s">
        <x:v>45</x:v>
      </x:c>
      <x:c r="B275" s="8" t="s">
        <x:v>586</x:v>
      </x:c>
      <x:c r="C275" s="19"/>
      <x:c r="D275" s="19"/>
      <x:c r="E275" s="20" t="e">
        <x:f>-(Tabla2[[#This Row],[STOCK ACTUAL]]-Tabla2[[#This Row],[CONSUMO MENSUAL]]*1.15)</x:f>
        <x:v>#VALUE!</x:v>
      </x:c>
      <x:c r="F275" s="12"/>
      <x:c r="G275" s="11"/>
    </x:row>
    <x:row r="276" ht="15" customHeight="1">
      <x:c r="A276" s="8" t="s">
        <x:v>45</x:v>
      </x:c>
      <x:c r="B276" s="8" t="s">
        <x:v>587</x:v>
      </x:c>
      <x:c r="C276" s="19"/>
      <x:c r="D276" s="19"/>
      <x:c r="E276" s="20" t="e">
        <x:f>-(Tabla2[[#This Row],[STOCK ACTUAL]]-Tabla2[[#This Row],[CONSUMO MENSUAL]]*1.15)</x:f>
        <x:v>#VALUE!</x:v>
      </x:c>
      <x:c r="F276" s="12"/>
      <x:c r="G276" s="11"/>
    </x:row>
    <x:row r="277" ht="15" customHeight="1">
      <x:c r="A277" s="8" t="s">
        <x:v>45</x:v>
      </x:c>
      <x:c r="B277" s="8" t="s">
        <x:v>588</x:v>
      </x:c>
      <x:c r="C277" s="19"/>
      <x:c r="D277" s="19"/>
      <x:c r="E277" s="20" t="e">
        <x:f>-(Tabla2[[#This Row],[STOCK ACTUAL]]-Tabla2[[#This Row],[CONSUMO MENSUAL]]*1.15)</x:f>
        <x:v>#VALUE!</x:v>
      </x:c>
      <x:c r="F277" s="12"/>
      <x:c r="G277" s="11"/>
    </x:row>
    <x:row r="278" ht="15" customHeight="1">
      <x:c r="A278" s="8" t="s">
        <x:v>45</x:v>
      </x:c>
      <x:c r="B278" s="8" t="s">
        <x:v>589</x:v>
      </x:c>
      <x:c r="C278" s="19"/>
      <x:c r="D278" s="19"/>
      <x:c r="E278" s="20" t="e">
        <x:f>-(Tabla2[[#This Row],[STOCK ACTUAL]]-Tabla2[[#This Row],[CONSUMO MENSUAL]]*1.15)</x:f>
        <x:v>#VALUE!</x:v>
      </x:c>
      <x:c r="F278" s="12"/>
      <x:c r="G278" s="11"/>
    </x:row>
    <x:row r="279" ht="15" customHeight="1">
      <x:c r="A279" s="8" t="s">
        <x:v>45</x:v>
      </x:c>
      <x:c r="B279" s="8" t="s">
        <x:v>590</x:v>
      </x:c>
      <x:c r="C279" s="19"/>
      <x:c r="D279" s="19"/>
      <x:c r="E279" s="20" t="e">
        <x:f>-(Tabla2[[#This Row],[STOCK ACTUAL]]-Tabla2[[#This Row],[CONSUMO MENSUAL]]*1.15)</x:f>
        <x:v>#VALUE!</x:v>
      </x:c>
      <x:c r="F279" s="12"/>
      <x:c r="G279" s="11"/>
    </x:row>
    <x:row r="280" ht="15" customHeight="1">
      <x:c r="A280" s="8" t="s">
        <x:v>45</x:v>
      </x:c>
      <x:c r="B280" s="8" t="s">
        <x:v>591</x:v>
      </x:c>
      <x:c r="C280" s="19"/>
      <x:c r="D280" s="19"/>
      <x:c r="E280" s="20" t="e">
        <x:f>-(Tabla2[[#This Row],[STOCK ACTUAL]]-Tabla2[[#This Row],[CONSUMO MENSUAL]]*1.15)</x:f>
        <x:v>#VALUE!</x:v>
      </x:c>
      <x:c r="F280" s="12"/>
      <x:c r="G280" s="11"/>
    </x:row>
    <x:row r="281" ht="15" customHeight="1">
      <x:c r="A281" s="8" t="s">
        <x:v>45</x:v>
      </x:c>
      <x:c r="B281" s="8" t="s">
        <x:v>592</x:v>
      </x:c>
      <x:c r="C281" s="19"/>
      <x:c r="D281" s="19"/>
      <x:c r="E281" s="20" t="e">
        <x:f>-(Tabla2[[#This Row],[STOCK ACTUAL]]-Tabla2[[#This Row],[CONSUMO MENSUAL]]*1.15)</x:f>
        <x:v>#VALUE!</x:v>
      </x:c>
      <x:c r="F281" s="12"/>
      <x:c r="G281" s="11"/>
    </x:row>
    <x:row r="282" ht="15" customHeight="1">
      <x:c r="A282" s="8" t="s">
        <x:v>45</x:v>
      </x:c>
      <x:c r="B282" s="8" t="s">
        <x:v>593</x:v>
      </x:c>
      <x:c r="C282" s="19"/>
      <x:c r="D282" s="19"/>
      <x:c r="E282" s="20" t="e">
        <x:f>-(Tabla2[[#This Row],[STOCK ACTUAL]]-Tabla2[[#This Row],[CONSUMO MENSUAL]]*1.15)</x:f>
        <x:v>#VALUE!</x:v>
      </x:c>
      <x:c r="F282" s="12"/>
      <x:c r="G282" s="11"/>
    </x:row>
    <x:row r="283" ht="15" customHeight="1">
      <x:c r="A283" s="8" t="s">
        <x:v>45</x:v>
      </x:c>
      <x:c r="B283" s="8" t="s">
        <x:v>594</x:v>
      </x:c>
      <x:c r="C283" s="19"/>
      <x:c r="D283" s="19"/>
      <x:c r="E283" s="20" t="e">
        <x:f>-(Tabla2[[#This Row],[STOCK ACTUAL]]-Tabla2[[#This Row],[CONSUMO MENSUAL]]*1.15)</x:f>
        <x:v>#VALUE!</x:v>
      </x:c>
      <x:c r="F283" s="12"/>
      <x:c r="G283" s="11"/>
    </x:row>
    <x:row r="284" ht="15" customHeight="1">
      <x:c r="A284" s="8" t="s">
        <x:v>45</x:v>
      </x:c>
      <x:c r="B284" s="8" t="s">
        <x:v>595</x:v>
      </x:c>
      <x:c r="C284" s="19"/>
      <x:c r="D284" s="19"/>
      <x:c r="E284" s="20" t="e">
        <x:f>-(Tabla2[[#This Row],[STOCK ACTUAL]]-Tabla2[[#This Row],[CONSUMO MENSUAL]]*1.15)</x:f>
        <x:v>#VALUE!</x:v>
      </x:c>
      <x:c r="F284" s="12"/>
      <x:c r="G284" s="11"/>
    </x:row>
    <x:row r="285" ht="15" customHeight="1">
      <x:c r="A285" s="8" t="s">
        <x:v>45</x:v>
      </x:c>
      <x:c r="B285" s="8" t="s">
        <x:v>596</x:v>
      </x:c>
      <x:c r="C285" s="19"/>
      <x:c r="D285" s="19"/>
      <x:c r="E285" s="20" t="e">
        <x:f>-(Tabla2[[#This Row],[STOCK ACTUAL]]-Tabla2[[#This Row],[CONSUMO MENSUAL]]*1.15)</x:f>
        <x:v>#VALUE!</x:v>
      </x:c>
      <x:c r="F285" s="12"/>
      <x:c r="G285" s="11"/>
    </x:row>
    <x:row r="286" ht="15" customHeight="1">
      <x:c r="A286" s="8" t="s">
        <x:v>45</x:v>
      </x:c>
      <x:c r="B286" s="8" t="s">
        <x:v>597</x:v>
      </x:c>
      <x:c r="C286" s="19"/>
      <x:c r="D286" s="19"/>
      <x:c r="E286" s="20" t="e">
        <x:f>-(Tabla2[[#This Row],[STOCK ACTUAL]]-Tabla2[[#This Row],[CONSUMO MENSUAL]]*1.15)</x:f>
        <x:v>#VALUE!</x:v>
      </x:c>
      <x:c r="F286" s="12"/>
      <x:c r="G286" s="11"/>
    </x:row>
    <x:row r="287" ht="15" customHeight="1">
      <x:c r="A287" s="8" t="s">
        <x:v>45</x:v>
      </x:c>
      <x:c r="B287" s="8" t="s">
        <x:v>598</x:v>
      </x:c>
      <x:c r="C287" s="19"/>
      <x:c r="D287" s="19"/>
      <x:c r="E287" s="20" t="e">
        <x:f>-(Tabla2[[#This Row],[STOCK ACTUAL]]-Tabla2[[#This Row],[CONSUMO MENSUAL]]*1.15)</x:f>
        <x:v>#VALUE!</x:v>
      </x:c>
      <x:c r="F287" s="12"/>
      <x:c r="G287" s="11"/>
    </x:row>
    <x:row r="288" ht="15" customHeight="1">
      <x:c r="A288" s="8" t="s">
        <x:v>45</x:v>
      </x:c>
      <x:c r="B288" s="8" t="s">
        <x:v>599</x:v>
      </x:c>
      <x:c r="C288" s="19"/>
      <x:c r="D288" s="19"/>
      <x:c r="E288" s="20" t="e">
        <x:f>-(Tabla2[[#This Row],[STOCK ACTUAL]]-Tabla2[[#This Row],[CONSUMO MENSUAL]]*1.15)</x:f>
        <x:v>#VALUE!</x:v>
      </x:c>
      <x:c r="F288" s="12"/>
      <x:c r="G288" s="11"/>
    </x:row>
    <x:row r="289" ht="15" customHeight="1">
      <x:c r="A289" s="8" t="s">
        <x:v>45</x:v>
      </x:c>
      <x:c r="B289" s="8" t="s">
        <x:v>600</x:v>
      </x:c>
      <x:c r="C289" s="19"/>
      <x:c r="D289" s="19"/>
      <x:c r="E289" s="20" t="e">
        <x:f>-(Tabla2[[#This Row],[STOCK ACTUAL]]-Tabla2[[#This Row],[CONSUMO MENSUAL]]*1.15)</x:f>
        <x:v>#VALUE!</x:v>
      </x:c>
      <x:c r="F289" s="12"/>
      <x:c r="G289" s="11"/>
    </x:row>
    <x:row r="290" ht="15" customHeight="1">
      <x:c r="A290" s="8" t="s">
        <x:v>45</x:v>
      </x:c>
      <x:c r="B290" s="8" t="s">
        <x:v>601</x:v>
      </x:c>
      <x:c r="C290" s="19"/>
      <x:c r="D290" s="19"/>
      <x:c r="E290" s="20" t="e">
        <x:f>-(Tabla2[[#This Row],[STOCK ACTUAL]]-Tabla2[[#This Row],[CONSUMO MENSUAL]]*1.15)</x:f>
        <x:v>#VALUE!</x:v>
      </x:c>
      <x:c r="F290" s="12"/>
      <x:c r="G290" s="11"/>
    </x:row>
    <x:row r="291" ht="15" customHeight="1">
      <x:c r="A291" s="8" t="s">
        <x:v>45</x:v>
      </x:c>
      <x:c r="B291" s="8" t="s">
        <x:v>602</x:v>
      </x:c>
      <x:c r="C291" s="19"/>
      <x:c r="D291" s="19"/>
      <x:c r="E291" s="20" t="e">
        <x:f>-(Tabla2[[#This Row],[STOCK ACTUAL]]-Tabla2[[#This Row],[CONSUMO MENSUAL]]*1.15)</x:f>
        <x:v>#VALUE!</x:v>
      </x:c>
      <x:c r="F291" s="12"/>
      <x:c r="G291" s="11"/>
    </x:row>
    <x:row r="292" ht="15" customHeight="1">
      <x:c r="A292" s="8" t="s">
        <x:v>45</x:v>
      </x:c>
      <x:c r="B292" s="8" t="s">
        <x:v>603</x:v>
      </x:c>
      <x:c r="C292" s="19"/>
      <x:c r="D292" s="19"/>
      <x:c r="E292" s="20" t="e">
        <x:f>-(Tabla2[[#This Row],[STOCK ACTUAL]]-Tabla2[[#This Row],[CONSUMO MENSUAL]]*1.15)</x:f>
        <x:v>#VALUE!</x:v>
      </x:c>
      <x:c r="F292" s="12"/>
      <x:c r="G292" s="11"/>
    </x:row>
    <x:row r="293" ht="15" customHeight="1">
      <x:c r="A293" s="8" t="s">
        <x:v>45</x:v>
      </x:c>
      <x:c r="B293" s="8" t="s">
        <x:v>604</x:v>
      </x:c>
      <x:c r="C293" s="19"/>
      <x:c r="D293" s="19"/>
      <x:c r="E293" s="20" t="e">
        <x:f>-(Tabla2[[#This Row],[STOCK ACTUAL]]-Tabla2[[#This Row],[CONSUMO MENSUAL]]*1.15)</x:f>
        <x:v>#VALUE!</x:v>
      </x:c>
      <x:c r="F293" s="12"/>
      <x:c r="G293" s="11"/>
    </x:row>
    <x:row r="294" ht="15" customHeight="1">
      <x:c r="A294" s="8" t="s">
        <x:v>45</x:v>
      </x:c>
      <x:c r="B294" s="8" t="s">
        <x:v>605</x:v>
      </x:c>
      <x:c r="C294" s="19"/>
      <x:c r="D294" s="19"/>
      <x:c r="E294" s="20" t="e">
        <x:f>-(Tabla2[[#This Row],[STOCK ACTUAL]]-Tabla2[[#This Row],[CONSUMO MENSUAL]]*1.15)</x:f>
        <x:v>#VALUE!</x:v>
      </x:c>
      <x:c r="F294" s="12"/>
      <x:c r="G294" s="11"/>
    </x:row>
    <x:row r="295" ht="15" customHeight="1">
      <x:c r="A295" s="8" t="s">
        <x:v>45</x:v>
      </x:c>
      <x:c r="B295" s="8" t="s">
        <x:v>606</x:v>
      </x:c>
      <x:c r="C295" s="19"/>
      <x:c r="D295" s="19"/>
      <x:c r="E295" s="20" t="e">
        <x:f>-(Tabla2[[#This Row],[STOCK ACTUAL]]-Tabla2[[#This Row],[CONSUMO MENSUAL]]*1.15)</x:f>
        <x:v>#VALUE!</x:v>
      </x:c>
      <x:c r="F295" s="12"/>
      <x:c r="G295" s="11"/>
      <x:c r="H295" s="2" t="s">
        <x:v>607</x:v>
      </x:c>
    </x:row>
    <x:row r="296" ht="15" customHeight="1">
      <x:c r="A296" s="8" t="s">
        <x:v>45</x:v>
      </x:c>
      <x:c r="B296" s="8" t="s">
        <x:v>608</x:v>
      </x:c>
      <x:c r="C296" s="19"/>
      <x:c r="D296" s="19"/>
      <x:c r="E296" s="20" t="e">
        <x:f>-(Tabla2[[#This Row],[STOCK ACTUAL]]-Tabla2[[#This Row],[CONSUMO MENSUAL]]*1.15)</x:f>
        <x:v>#VALUE!</x:v>
      </x:c>
      <x:c r="F296" s="12"/>
      <x:c r="G296" s="11"/>
      <x:c r="H296" s="2" t="s">
        <x:v>607</x:v>
      </x:c>
    </x:row>
    <x:row r="297" ht="15" customHeight="1">
      <x:c r="A297" s="8" t="s">
        <x:v>45</x:v>
      </x:c>
      <x:c r="B297" s="8" t="s">
        <x:v>609</x:v>
      </x:c>
      <x:c r="C297" s="19"/>
      <x:c r="D297" s="19"/>
      <x:c r="E297" s="20" t="e">
        <x:f>-(Tabla2[[#This Row],[STOCK ACTUAL]]-Tabla2[[#This Row],[CONSUMO MENSUAL]]*1.15)</x:f>
        <x:v>#VALUE!</x:v>
      </x:c>
      <x:c r="F297" s="12"/>
      <x:c r="G297" s="11"/>
      <x:c r="H297" s="2" t="s">
        <x:v>607</x:v>
      </x:c>
    </x:row>
    <x:row r="298" ht="15" customHeight="1">
      <x:c r="A298" s="8" t="s">
        <x:v>45</x:v>
      </x:c>
      <x:c r="B298" s="8" t="s">
        <x:v>610</x:v>
      </x:c>
      <x:c r="C298" s="19"/>
      <x:c r="D298" s="19"/>
      <x:c r="E298" s="20" t="e">
        <x:f>-(Tabla2[[#This Row],[STOCK ACTUAL]]-Tabla2[[#This Row],[CONSUMO MENSUAL]]*1.15)</x:f>
        <x:v>#VALUE!</x:v>
      </x:c>
      <x:c r="F298" s="12"/>
      <x:c r="G298" s="11"/>
      <x:c r="H298" s="2" t="s">
        <x:v>607</x:v>
      </x:c>
    </x:row>
    <x:row r="299" ht="15" customHeight="1">
      <x:c r="A299" s="8" t="s">
        <x:v>45</x:v>
      </x:c>
      <x:c r="B299" s="8" t="s">
        <x:v>611</x:v>
      </x:c>
      <x:c r="C299" s="19"/>
      <x:c r="D299" s="19"/>
      <x:c r="E299" s="20" t="e">
        <x:f>-(Tabla2[[#This Row],[STOCK ACTUAL]]-Tabla2[[#This Row],[CONSUMO MENSUAL]]*1.15)</x:f>
        <x:v>#VALUE!</x:v>
      </x:c>
      <x:c r="F299" s="12"/>
      <x:c r="G299" s="11"/>
      <x:c r="H299" s="2" t="s">
        <x:v>607</x:v>
      </x:c>
    </x:row>
    <x:row r="300" ht="15" customHeight="1">
      <x:c r="A300" s="8" t="s">
        <x:v>45</x:v>
      </x:c>
      <x:c r="B300" s="8" t="s">
        <x:v>612</x:v>
      </x:c>
      <x:c r="C300" s="19"/>
      <x:c r="D300" s="19"/>
      <x:c r="E300" s="20" t="e">
        <x:f>-(Tabla2[[#This Row],[STOCK ACTUAL]]-Tabla2[[#This Row],[CONSUMO MENSUAL]]*1.15)</x:f>
        <x:v>#VALUE!</x:v>
      </x:c>
      <x:c r="F300" s="12"/>
      <x:c r="G300" s="11"/>
      <x:c r="H300" s="2" t="s">
        <x:v>607</x:v>
      </x:c>
    </x:row>
    <x:row r="301" ht="15" customHeight="1">
      <x:c r="A301" s="8" t="s">
        <x:v>45</x:v>
      </x:c>
      <x:c r="B301" s="8" t="s">
        <x:v>613</x:v>
      </x:c>
      <x:c r="C301" s="19"/>
      <x:c r="D301" s="19"/>
      <x:c r="E301" s="20" t="e">
        <x:f>-(Tabla2[[#This Row],[STOCK ACTUAL]]-Tabla2[[#This Row],[CONSUMO MENSUAL]]*1.15)</x:f>
        <x:v>#VALUE!</x:v>
      </x:c>
      <x:c r="F301" s="12"/>
      <x:c r="G301" s="11"/>
      <x:c r="H301" s="2" t="s">
        <x:v>607</x:v>
      </x:c>
    </x:row>
    <x:row r="302" ht="15" customHeight="1">
      <x:c r="A302" s="8" t="s">
        <x:v>334</x:v>
      </x:c>
      <x:c r="B302" s="8" t="s">
        <x:v>614</x:v>
      </x:c>
      <x:c r="C302" s="19"/>
      <x:c r="D302" s="19"/>
      <x:c r="E302" s="20" t="e">
        <x:f>-(Tabla2[[#This Row],[STOCK ACTUAL]]-Tabla2[[#This Row],[CONSUMO MENSUAL]]*1.15)</x:f>
        <x:v>#VALUE!</x:v>
      </x:c>
      <x:c r="F302" s="12"/>
      <x:c r="G302" s="11"/>
      <x:c r="H302" s="2" t="s">
        <x:v>607</x:v>
      </x:c>
    </x:row>
    <x:row r="303" ht="15" customHeight="1">
      <x:c r="A303" s="8" t="s">
        <x:v>365</x:v>
      </x:c>
      <x:c r="B303" s="8" t="s">
        <x:v>615</x:v>
      </x:c>
      <x:c r="C303" s="19"/>
      <x:c r="D303" s="19"/>
      <x:c r="E303" s="20" t="e">
        <x:f>-(Tabla2[[#This Row],[STOCK ACTUAL]]-Tabla2[[#This Row],[CONSUMO MENSUAL]]*1.15)</x:f>
        <x:v>#VALUE!</x:v>
      </x:c>
      <x:c r="F303" s="12"/>
      <x:c r="G303" s="11"/>
    </x:row>
    <x:row r="304" ht="15" customHeight="1">
      <x:c r="A304" s="8" t="s">
        <x:v>45</x:v>
      </x:c>
      <x:c r="B304" s="8" t="s">
        <x:v>616</x:v>
      </x:c>
      <x:c r="C304" s="19"/>
      <x:c r="D304" s="19"/>
      <x:c r="E304" s="20" t="e">
        <x:f>-(Tabla2[[#This Row],[STOCK ACTUAL]]-Tabla2[[#This Row],[CONSUMO MENSUAL]]*1.15)</x:f>
        <x:v>#VALUE!</x:v>
      </x:c>
      <x:c r="F304" s="12"/>
      <x:c r="G304" s="11"/>
    </x:row>
    <x:row r="305" ht="15" customHeight="1">
      <x:c r="A305" s="8" t="s">
        <x:v>34</x:v>
      </x:c>
      <x:c r="B305" s="14" t="s">
        <x:v>617</x:v>
      </x:c>
      <x:c r="C305" s="19"/>
      <x:c r="D305" s="19"/>
      <x:c r="E305" s="20" t="e">
        <x:f>-(Tabla2[[#This Row],[STOCK ACTUAL]]-Tabla2[[#This Row],[CONSUMO MENSUAL]]*1.15)</x:f>
        <x:v>#VALUE!</x:v>
      </x:c>
      <x:c r="F305" s="12"/>
      <x:c r="G305" s="11"/>
    </x:row>
    <x:row r="306" ht="15" customHeight="1">
      <x:c r="A306" s="8" t="s">
        <x:v>45</x:v>
      </x:c>
      <x:c r="B306" s="8" t="s">
        <x:v>618</x:v>
      </x:c>
      <x:c r="C306" s="19"/>
      <x:c r="D306" s="19"/>
      <x:c r="E306" s="20" t="e">
        <x:f>-(Tabla2[[#This Row],[STOCK ACTUAL]]-Tabla2[[#This Row],[CONSUMO MENSUAL]]*1.15)</x:f>
        <x:v>#VALUE!</x:v>
      </x:c>
      <x:c r="F306" s="12"/>
      <x:c r="G306" s="11"/>
    </x:row>
    <x:row r="307" ht="15" customHeight="1">
      <x:c r="A307" s="8" t="s">
        <x:v>456</x:v>
      </x:c>
      <x:c r="B307" s="8" t="s">
        <x:v>619</x:v>
      </x:c>
      <x:c r="C307" s="19"/>
      <x:c r="D307" s="19"/>
      <x:c r="E307" s="20" t="e">
        <x:f>-(Tabla2[[#This Row],[STOCK ACTUAL]]-Tabla2[[#This Row],[CONSUMO MENSUAL]]*1.15)</x:f>
        <x:v>#VALUE!</x:v>
      </x:c>
      <x:c r="F307" s="12"/>
      <x:c r="G307" s="11"/>
    </x:row>
    <x:row r="308" ht="15" customHeight="1">
      <x:c r="A308" s="8" t="s">
        <x:v>334</x:v>
      </x:c>
      <x:c r="B308" s="14" t="s">
        <x:v>620</x:v>
      </x:c>
      <x:c r="C308" s="19"/>
      <x:c r="D308" s="19"/>
      <x:c r="E308" s="20" t="e">
        <x:f>-(Tabla2[[#This Row],[STOCK ACTUAL]]-Tabla2[[#This Row],[CONSUMO MENSUAL]]*1.15)</x:f>
        <x:v>#VALUE!</x:v>
      </x:c>
      <x:c r="F308" s="12"/>
      <x:c r="G308" s="11"/>
    </x:row>
    <x:row r="309" ht="15" customHeight="1">
      <x:c r="A309" s="8" t="s">
        <x:v>315</x:v>
      </x:c>
      <x:c r="B309" s="8" t="s">
        <x:v>621</x:v>
      </x:c>
      <x:c r="C309" s="19"/>
      <x:c r="D309" s="19"/>
      <x:c r="E309" s="20" t="e">
        <x:f>-(Tabla2[[#This Row],[STOCK ACTUAL]]-Tabla2[[#This Row],[CONSUMO MENSUAL]]*1.15)</x:f>
        <x:v>#VALUE!</x:v>
      </x:c>
      <x:c r="F309" s="12"/>
      <x:c r="G309" s="11"/>
    </x:row>
    <x:row r="310" ht="15" customHeight="1">
      <x:c r="A310" s="8" t="s">
        <x:v>45</x:v>
      </x:c>
      <x:c r="B310" s="8" t="s">
        <x:v>622</x:v>
      </x:c>
      <x:c r="C310" s="19"/>
      <x:c r="D310" s="19"/>
      <x:c r="E310" s="20" t="e">
        <x:f>-(Tabla2[[#This Row],[STOCK ACTUAL]]-Tabla2[[#This Row],[CONSUMO MENSUAL]]*1.15)</x:f>
        <x:v>#VALUE!</x:v>
      </x:c>
      <x:c r="F310" s="12"/>
      <x:c r="G310" s="11"/>
    </x:row>
    <x:row r="311" ht="15" customHeight="1">
      <x:c r="A311" s="8" t="s">
        <x:v>45</x:v>
      </x:c>
      <x:c r="B311" s="8" t="s">
        <x:v>623</x:v>
      </x:c>
      <x:c r="C311" s="19"/>
      <x:c r="D311" s="19"/>
      <x:c r="E311" s="20" t="e">
        <x:f>-(Tabla2[[#This Row],[STOCK ACTUAL]]-Tabla2[[#This Row],[CONSUMO MENSUAL]]*1.15)</x:f>
        <x:v>#VALUE!</x:v>
      </x:c>
      <x:c r="F311" s="12"/>
      <x:c r="G311" s="11"/>
    </x:row>
    <x:row r="312" ht="15" customHeight="1">
      <x:c r="A312" s="8" t="s">
        <x:v>45</x:v>
      </x:c>
      <x:c r="B312" s="8" t="s">
        <x:v>624</x:v>
      </x:c>
      <x:c r="C312" s="19"/>
      <x:c r="D312" s="19"/>
      <x:c r="E312" s="20" t="e">
        <x:f>-(Tabla2[[#This Row],[STOCK ACTUAL]]-Tabla2[[#This Row],[CONSUMO MENSUAL]]*1.15)</x:f>
        <x:v>#VALUE!</x:v>
      </x:c>
      <x:c r="F312" s="12"/>
      <x:c r="G312" s="11"/>
    </x:row>
    <x:row r="313" ht="15" customHeight="1">
      <x:c r="A313" s="8" t="s">
        <x:v>45</x:v>
      </x:c>
      <x:c r="B313" s="8" t="s">
        <x:v>625</x:v>
      </x:c>
      <x:c r="C313" s="19"/>
      <x:c r="D313" s="19"/>
      <x:c r="E313" s="20" t="e">
        <x:f>-(Tabla2[[#This Row],[STOCK ACTUAL]]-Tabla2[[#This Row],[CONSUMO MENSUAL]]*1.15)</x:f>
        <x:v>#VALUE!</x:v>
      </x:c>
      <x:c r="F313" s="12"/>
      <x:c r="G313" s="11"/>
    </x:row>
    <x:row r="314" ht="15" customHeight="1">
      <x:c r="A314" s="8" t="s">
        <x:v>45</x:v>
      </x:c>
      <x:c r="B314" s="8" t="s">
        <x:v>626</x:v>
      </x:c>
      <x:c r="C314" s="19"/>
      <x:c r="D314" s="19"/>
      <x:c r="E314" s="20" t="e">
        <x:f>-(Tabla2[[#This Row],[STOCK ACTUAL]]-Tabla2[[#This Row],[CONSUMO MENSUAL]]*1.15)</x:f>
        <x:v>#VALUE!</x:v>
      </x:c>
      <x:c r="F314" s="12"/>
      <x:c r="G314" s="11"/>
    </x:row>
    <x:row r="315" ht="15" customHeight="1">
      <x:c r="A315" s="8" t="s">
        <x:v>45</x:v>
      </x:c>
      <x:c r="B315" s="8" t="s">
        <x:v>627</x:v>
      </x:c>
      <x:c r="C315" s="19"/>
      <x:c r="D315" s="19"/>
      <x:c r="E315" s="20" t="e">
        <x:f>-(Tabla2[[#This Row],[STOCK ACTUAL]]-Tabla2[[#This Row],[CONSUMO MENSUAL]]*1.15)</x:f>
        <x:v>#VALUE!</x:v>
      </x:c>
      <x:c r="F315" s="12"/>
      <x:c r="G315" s="11"/>
    </x:row>
    <x:row r="316" ht="15" customHeight="1">
      <x:c r="A316" s="8" t="s">
        <x:v>45</x:v>
      </x:c>
      <x:c r="B316" s="8" t="s">
        <x:v>628</x:v>
      </x:c>
      <x:c r="C316" s="19"/>
      <x:c r="D316" s="19"/>
      <x:c r="E316" s="20" t="e">
        <x:f>-(Tabla2[[#This Row],[STOCK ACTUAL]]-Tabla2[[#This Row],[CONSUMO MENSUAL]]*1.15)</x:f>
        <x:v>#VALUE!</x:v>
      </x:c>
      <x:c r="F316" s="12"/>
      <x:c r="G316" s="11"/>
    </x:row>
    <x:row r="317" ht="15" customHeight="1">
      <x:c r="A317" s="8" t="s">
        <x:v>45</x:v>
      </x:c>
      <x:c r="B317" s="8" t="s">
        <x:v>629</x:v>
      </x:c>
      <x:c r="C317" s="19"/>
      <x:c r="D317" s="19"/>
      <x:c r="E317" s="20" t="e">
        <x:f>-(Tabla2[[#This Row],[STOCK ACTUAL]]-Tabla2[[#This Row],[CONSUMO MENSUAL]]*1.15)</x:f>
        <x:v>#VALUE!</x:v>
      </x:c>
      <x:c r="F317" s="12"/>
      <x:c r="G317" s="11"/>
    </x:row>
    <x:row r="318" ht="15" customHeight="1">
      <x:c r="A318" s="8" t="s">
        <x:v>45</x:v>
      </x:c>
      <x:c r="B318" s="8" t="s">
        <x:v>630</x:v>
      </x:c>
      <x:c r="C318" s="19"/>
      <x:c r="D318" s="19"/>
      <x:c r="E318" s="20" t="e">
        <x:f>-(Tabla2[[#This Row],[STOCK ACTUAL]]-Tabla2[[#This Row],[CONSUMO MENSUAL]]*1.15)</x:f>
        <x:v>#VALUE!</x:v>
      </x:c>
      <x:c r="F318" s="12"/>
      <x:c r="G318" s="11"/>
    </x:row>
    <x:row r="319" ht="15" customHeight="1">
      <x:c r="A319" s="8" t="s">
        <x:v>45</x:v>
      </x:c>
      <x:c r="B319" s="8" t="s">
        <x:v>631</x:v>
      </x:c>
      <x:c r="C319" s="19"/>
      <x:c r="D319" s="19"/>
      <x:c r="E319" s="20" t="e">
        <x:f>-(Tabla2[[#This Row],[STOCK ACTUAL]]-Tabla2[[#This Row],[CONSUMO MENSUAL]]*1.15)</x:f>
        <x:v>#VALUE!</x:v>
      </x:c>
      <x:c r="F319" s="12"/>
      <x:c r="G319" s="11"/>
    </x:row>
    <x:row r="320" ht="15" customHeight="1">
      <x:c r="A320" s="8" t="s">
        <x:v>45</x:v>
      </x:c>
      <x:c r="B320" s="8" t="s">
        <x:v>632</x:v>
      </x:c>
      <x:c r="C320" s="19"/>
      <x:c r="D320" s="19"/>
      <x:c r="E320" s="20" t="e">
        <x:f>-(Tabla2[[#This Row],[STOCK ACTUAL]]-Tabla2[[#This Row],[CONSUMO MENSUAL]]*1.15)</x:f>
        <x:v>#VALUE!</x:v>
      </x:c>
      <x:c r="F320" s="12"/>
      <x:c r="G320" s="11"/>
    </x:row>
    <x:row r="321" ht="15" customHeight="1">
      <x:c r="A321" s="8" t="s">
        <x:v>45</x:v>
      </x:c>
      <x:c r="B321" s="8" t="s">
        <x:v>633</x:v>
      </x:c>
      <x:c r="C321" s="19"/>
      <x:c r="D321" s="19"/>
      <x:c r="E321" s="20" t="e">
        <x:f>-(Tabla2[[#This Row],[STOCK ACTUAL]]-Tabla2[[#This Row],[CONSUMO MENSUAL]]*1.15)</x:f>
        <x:v>#VALUE!</x:v>
      </x:c>
      <x:c r="F321" s="12"/>
      <x:c r="G321" s="11"/>
    </x:row>
    <x:row r="322" ht="15" customHeight="1">
      <x:c r="A322" s="8" t="s">
        <x:v>45</x:v>
      </x:c>
      <x:c r="B322" s="8" t="s">
        <x:v>634</x:v>
      </x:c>
      <x:c r="C322" s="19"/>
      <x:c r="D322" s="19"/>
      <x:c r="E322" s="20" t="e">
        <x:f>-(Tabla2[[#This Row],[STOCK ACTUAL]]-Tabla2[[#This Row],[CONSUMO MENSUAL]]*1.15)</x:f>
        <x:v>#VALUE!</x:v>
      </x:c>
      <x:c r="F322" s="12"/>
      <x:c r="G322" s="11"/>
    </x:row>
    <x:row r="323" ht="15" customHeight="1">
      <x:c r="A323" s="8" t="s">
        <x:v>45</x:v>
      </x:c>
      <x:c r="B323" s="8" t="s">
        <x:v>635</x:v>
      </x:c>
      <x:c r="C323" s="19"/>
      <x:c r="D323" s="19"/>
      <x:c r="E323" s="20" t="e">
        <x:f>-(Tabla2[[#This Row],[STOCK ACTUAL]]-Tabla2[[#This Row],[CONSUMO MENSUAL]]*1.15)</x:f>
        <x:v>#VALUE!</x:v>
      </x:c>
      <x:c r="F323" s="12"/>
      <x:c r="G323" s="11"/>
    </x:row>
    <x:row r="324" ht="15" customHeight="1">
      <x:c r="A324" s="8" t="s">
        <x:v>45</x:v>
      </x:c>
      <x:c r="B324" s="8" t="s">
        <x:v>636</x:v>
      </x:c>
      <x:c r="C324" s="19"/>
      <x:c r="D324" s="19"/>
      <x:c r="E324" s="20" t="e">
        <x:f>-(Tabla2[[#This Row],[STOCK ACTUAL]]-Tabla2[[#This Row],[CONSUMO MENSUAL]]*1.15)</x:f>
        <x:v>#VALUE!</x:v>
      </x:c>
      <x:c r="F324" s="12"/>
      <x:c r="G324" s="11"/>
    </x:row>
    <x:row r="325" ht="15" customHeight="1">
      <x:c r="A325" s="8" t="s">
        <x:v>456</x:v>
      </x:c>
      <x:c r="B325" s="8" t="s">
        <x:v>637</x:v>
      </x:c>
      <x:c r="C325" s="19"/>
      <x:c r="D325" s="19"/>
      <x:c r="E325" s="20" t="e">
        <x:f>-(Tabla2[[#This Row],[STOCK ACTUAL]]-Tabla2[[#This Row],[CONSUMO MENSUAL]]*1.15)</x:f>
        <x:v>#VALUE!</x:v>
      </x:c>
      <x:c r="F325" s="12"/>
      <x:c r="G325" s="11"/>
    </x:row>
    <x:row r="326" ht="15" customHeight="1">
      <x:c r="A326" s="8" t="s">
        <x:v>45</x:v>
      </x:c>
      <x:c r="B326" s="13" t="s">
        <x:v>638</x:v>
      </x:c>
      <x:c r="C326" s="19"/>
      <x:c r="D326" s="19"/>
      <x:c r="E326" s="20" t="e">
        <x:f>-(Tabla2[[#This Row],[STOCK ACTUAL]]-Tabla2[[#This Row],[CONSUMO MENSUAL]]*1.15)</x:f>
        <x:v>#VALUE!</x:v>
      </x:c>
      <x:c r="F326" s="12"/>
      <x:c r="G326" s="11"/>
    </x:row>
    <x:row r="327" ht="15" customHeight="1">
      <x:c r="A327" s="8" t="s">
        <x:v>45</x:v>
      </x:c>
      <x:c r="B327" s="8" t="s">
        <x:v>639</x:v>
      </x:c>
      <x:c r="C327" s="19"/>
      <x:c r="D327" s="19"/>
      <x:c r="E327" s="20" t="e">
        <x:f>-(Tabla2[[#This Row],[STOCK ACTUAL]]-Tabla2[[#This Row],[CONSUMO MENSUAL]]*1.15)</x:f>
        <x:v>#VALUE!</x:v>
      </x:c>
      <x:c r="F327" s="12"/>
      <x:c r="G327" s="11"/>
    </x:row>
    <x:row r="328" ht="15" customHeight="1">
      <x:c r="A328" s="8" t="s">
        <x:v>45</x:v>
      </x:c>
      <x:c r="B328" s="8" t="s">
        <x:v>640</x:v>
      </x:c>
      <x:c r="C328" s="19"/>
      <x:c r="D328" s="19"/>
      <x:c r="E328" s="20" t="e">
        <x:f>-(Tabla2[[#This Row],[STOCK ACTUAL]]-Tabla2[[#This Row],[CONSUMO MENSUAL]]*1.15)</x:f>
        <x:v>#VALUE!</x:v>
      </x:c>
      <x:c r="F328" s="12"/>
      <x:c r="G328" s="11"/>
    </x:row>
    <x:row r="329" ht="15" customHeight="1">
      <x:c r="A329" s="8" t="s">
        <x:v>45</x:v>
      </x:c>
      <x:c r="B329" s="8" t="s">
        <x:v>641</x:v>
      </x:c>
      <x:c r="C329" s="19"/>
      <x:c r="D329" s="19"/>
      <x:c r="E329" s="20" t="e">
        <x:f>-(Tabla2[[#This Row],[STOCK ACTUAL]]-Tabla2[[#This Row],[CONSUMO MENSUAL]]*1.15)</x:f>
        <x:v>#VALUE!</x:v>
      </x:c>
      <x:c r="F329" s="12"/>
      <x:c r="G329" s="11"/>
    </x:row>
    <x:row r="330" ht="15" customHeight="1">
      <x:c r="A330" s="8" t="s">
        <x:v>334</x:v>
      </x:c>
      <x:c r="B330" s="13" t="s">
        <x:v>642</x:v>
      </x:c>
      <x:c r="C330" s="19"/>
      <x:c r="D330" s="19"/>
      <x:c r="E330" s="20" t="e">
        <x:f>-(Tabla2[[#This Row],[STOCK ACTUAL]]-Tabla2[[#This Row],[CONSUMO MENSUAL]]*1.15)</x:f>
        <x:v>#VALUE!</x:v>
      </x:c>
      <x:c r="F330" s="12"/>
      <x:c r="G330" s="11"/>
    </x:row>
    <x:row r="331" ht="15" customHeight="1">
      <x:c r="A331" s="8" t="s">
        <x:v>334</x:v>
      </x:c>
      <x:c r="B331" s="13" t="s">
        <x:v>643</x:v>
      </x:c>
      <x:c r="C331" s="19"/>
      <x:c r="D331" s="19"/>
      <x:c r="E331" s="20" t="e">
        <x:f>-(Tabla2[[#This Row],[STOCK ACTUAL]]-Tabla2[[#This Row],[CONSUMO MENSUAL]]*1.15)</x:f>
        <x:v>#VALUE!</x:v>
      </x:c>
      <x:c r="F331" s="12"/>
      <x:c r="G331" s="11"/>
    </x:row>
    <x:row r="332" ht="15" customHeight="1">
      <x:c r="A332" s="8" t="s">
        <x:v>334</x:v>
      </x:c>
      <x:c r="B332" s="13" t="s">
        <x:v>644</x:v>
      </x:c>
      <x:c r="C332" s="19"/>
      <x:c r="D332" s="19"/>
      <x:c r="E332" s="20" t="e">
        <x:f>-(Tabla2[[#This Row],[STOCK ACTUAL]]-Tabla2[[#This Row],[CONSUMO MENSUAL]]*1.15)</x:f>
        <x:v>#VALUE!</x:v>
      </x:c>
      <x:c r="F332" s="12"/>
      <x:c r="G332" s="11"/>
    </x:row>
    <x:row r="333" ht="15" customHeight="1">
      <x:c r="A333" s="8" t="s">
        <x:v>334</x:v>
      </x:c>
      <x:c r="B333" s="13" t="s">
        <x:v>645</x:v>
      </x:c>
      <x:c r="C333" s="19"/>
      <x:c r="D333" s="19"/>
      <x:c r="E333" s="20" t="e">
        <x:f>-(Tabla2[[#This Row],[STOCK ACTUAL]]-Tabla2[[#This Row],[CONSUMO MENSUAL]]*1.15)</x:f>
        <x:v>#VALUE!</x:v>
      </x:c>
      <x:c r="F333" s="12"/>
      <x:c r="G333" s="11"/>
    </x:row>
    <x:row r="334" ht="15" customHeight="1">
      <x:c r="A334" s="8" t="s">
        <x:v>334</x:v>
      </x:c>
      <x:c r="B334" s="8" t="s">
        <x:v>646</x:v>
      </x:c>
      <x:c r="C334" s="19"/>
      <x:c r="D334" s="19"/>
      <x:c r="E334" s="20" t="e">
        <x:f>-(Tabla2[[#This Row],[STOCK ACTUAL]]-Tabla2[[#This Row],[CONSUMO MENSUAL]]*1.15)</x:f>
        <x:v>#VALUE!</x:v>
      </x:c>
      <x:c r="F334" s="12"/>
      <x:c r="G334" s="11"/>
    </x:row>
    <x:row r="335" ht="15" customHeight="1">
      <x:c r="A335" s="8" t="s">
        <x:v>334</x:v>
      </x:c>
      <x:c r="B335" s="8" t="s">
        <x:v>647</x:v>
      </x:c>
      <x:c r="C335" s="19"/>
      <x:c r="D335" s="19"/>
      <x:c r="E335" s="20" t="e">
        <x:f>-(Tabla2[[#This Row],[STOCK ACTUAL]]-Tabla2[[#This Row],[CONSUMO MENSUAL]]*1.15)</x:f>
        <x:v>#VALUE!</x:v>
      </x:c>
      <x:c r="F335" s="12"/>
      <x:c r="G335" s="11"/>
    </x:row>
    <x:row r="336" ht="15" customHeight="1">
      <x:c r="A336" s="8" t="s">
        <x:v>45</x:v>
      </x:c>
      <x:c r="B336" s="8" t="s">
        <x:v>648</x:v>
      </x:c>
      <x:c r="C336" s="19"/>
      <x:c r="D336" s="19"/>
      <x:c r="E336" s="20" t="e">
        <x:f>-(Tabla2[[#This Row],[STOCK ACTUAL]]-Tabla2[[#This Row],[CONSUMO MENSUAL]]*1.15)</x:f>
        <x:v>#VALUE!</x:v>
      </x:c>
      <x:c r="F336" s="12"/>
      <x:c r="G336" s="11"/>
    </x:row>
    <x:row r="337" ht="15" customHeight="1">
      <x:c r="A337" s="8" t="s">
        <x:v>334</x:v>
      </x:c>
      <x:c r="B337" s="8" t="s">
        <x:v>649</x:v>
      </x:c>
      <x:c r="C337" s="19"/>
      <x:c r="D337" s="19"/>
      <x:c r="E337" s="20" t="e">
        <x:f>-(Tabla2[[#This Row],[STOCK ACTUAL]]-Tabla2[[#This Row],[CONSUMO MENSUAL]]*1.15)</x:f>
        <x:v>#VALUE!</x:v>
      </x:c>
      <x:c r="F337" s="12"/>
      <x:c r="G337" s="11"/>
    </x:row>
    <x:row r="338" ht="15" customHeight="1">
      <x:c r="A338" s="8" t="s">
        <x:v>45</x:v>
      </x:c>
      <x:c r="B338" s="8" t="s">
        <x:v>650</x:v>
      </x:c>
      <x:c r="C338" s="19"/>
      <x:c r="D338" s="19"/>
      <x:c r="E338" s="20" t="e">
        <x:f>-(Tabla2[[#This Row],[STOCK ACTUAL]]-Tabla2[[#This Row],[CONSUMO MENSUAL]]*1.15)</x:f>
        <x:v>#VALUE!</x:v>
      </x:c>
      <x:c r="F338" s="12"/>
      <x:c r="G338" s="11"/>
    </x:row>
    <x:row r="339" ht="15" customHeight="1">
      <x:c r="A339" s="8" t="s">
        <x:v>45</x:v>
      </x:c>
      <x:c r="B339" s="8" t="s">
        <x:v>651</x:v>
      </x:c>
      <x:c r="C339" s="19"/>
      <x:c r="D339" s="19"/>
      <x:c r="E339" s="20" t="e">
        <x:f>-(Tabla2[[#This Row],[STOCK ACTUAL]]-Tabla2[[#This Row],[CONSUMO MENSUAL]]*1.15)</x:f>
        <x:v>#VALUE!</x:v>
      </x:c>
      <x:c r="F339" s="12"/>
      <x:c r="G339" s="11"/>
    </x:row>
    <x:row r="340" ht="15" customHeight="1">
      <x:c r="A340" s="8" t="s">
        <x:v>45</x:v>
      </x:c>
      <x:c r="B340" s="8" t="s">
        <x:v>652</x:v>
      </x:c>
      <x:c r="C340" s="19"/>
      <x:c r="D340" s="19"/>
      <x:c r="E340" s="20" t="e">
        <x:f>-(Tabla2[[#This Row],[STOCK ACTUAL]]-Tabla2[[#This Row],[CONSUMO MENSUAL]]*1.15)</x:f>
        <x:v>#VALUE!</x:v>
      </x:c>
      <x:c r="F340" s="12"/>
      <x:c r="G340" s="11"/>
    </x:row>
    <x:row r="341" ht="15" customHeight="1">
      <x:c r="A341" s="8" t="s">
        <x:v>45</x:v>
      </x:c>
      <x:c r="B341" s="8" t="s">
        <x:v>653</x:v>
      </x:c>
      <x:c r="C341" s="19"/>
      <x:c r="D341" s="19"/>
      <x:c r="E341" s="20" t="e">
        <x:f>-(Tabla2[[#This Row],[STOCK ACTUAL]]-Tabla2[[#This Row],[CONSUMO MENSUAL]]*1.15)</x:f>
        <x:v>#VALUE!</x:v>
      </x:c>
      <x:c r="F341" s="12"/>
      <x:c r="G341" s="11"/>
    </x:row>
    <x:row r="342" ht="15" customHeight="1">
      <x:c r="A342" s="17"/>
      <x:c r="B342" s="18"/>
      <x:c r="C342" s="19"/>
      <x:c r="D342" s="19"/>
      <x:c r="E342" s="20" t="e">
        <x:f>-(Tabla2[[#This Row],[STOCK ACTUAL]]-Tabla2[[#This Row],[CONSUMO MENSUAL]]*1.15)</x:f>
        <x:v>#VALUE!</x:v>
      </x:c>
      <x:c r="F342" s="12"/>
      <x:c r="G342" s="11"/>
    </x:row>
    <x:row r="343" ht="15" customHeight="1">
      <x:c r="A343" s="17"/>
      <x:c r="B343" s="18"/>
      <x:c r="C343" s="19"/>
      <x:c r="D343" s="19"/>
      <x:c r="E343" s="20" t="e">
        <x:f>-(Tabla2[[#This Row],[STOCK ACTUAL]]-Tabla2[[#This Row],[CONSUMO MENSUAL]]*1.15)</x:f>
        <x:v>#VALUE!</x:v>
      </x:c>
      <x:c r="F343" s="12"/>
      <x:c r="G343" s="11"/>
    </x:row>
    <x:row r="344" ht="15" customHeight="1">
      <x:c r="A344" s="17"/>
      <x:c r="B344" s="18"/>
      <x:c r="C344" s="19"/>
      <x:c r="D344" s="19"/>
      <x:c r="E344" s="20" t="e">
        <x:f>-(Tabla2[[#This Row],[STOCK ACTUAL]]-Tabla2[[#This Row],[CONSUMO MENSUAL]]*1.15)</x:f>
        <x:v>#VALUE!</x:v>
      </x:c>
      <x:c r="F344" s="12"/>
      <x:c r="G344" s="11"/>
    </x:row>
    <x:row r="345" ht="15" customHeight="1">
      <x:c r="A345" s="17"/>
      <x:c r="B345" s="18"/>
      <x:c r="C345" s="19"/>
      <x:c r="D345" s="19"/>
      <x:c r="E345" s="20" t="e">
        <x:f>-(Tabla2[[#This Row],[STOCK ACTUAL]]-Tabla2[[#This Row],[CONSUMO MENSUAL]]*1.15)</x:f>
        <x:v>#VALUE!</x:v>
      </x:c>
      <x:c r="F345" s="12"/>
      <x:c r="G345" s="11"/>
    </x:row>
    <x:row r="346" ht="15" customHeight="1">
      <x:c r="A346" s="17"/>
      <x:c r="B346" s="18"/>
      <x:c r="C346" s="19"/>
      <x:c r="D346" s="19"/>
      <x:c r="E346" s="20" t="e">
        <x:f>-(Tabla2[[#This Row],[STOCK ACTUAL]]-Tabla2[[#This Row],[CONSUMO MENSUAL]]*1.15)</x:f>
        <x:v>#VALUE!</x:v>
      </x:c>
      <x:c r="F346" s="12"/>
      <x:c r="G346" s="11"/>
    </x:row>
  </x:sheetData>
  <x:mergeCells>
    <x:mergeCell ref="A1:A4"/>
    <x:mergeCell ref="B2:D3"/>
    <x:mergeCell ref="F2:G2"/>
    <x:mergeCell ref="F3:G3"/>
  </x:mergeCells>
  <x:conditionalFormatting sqref="E6:E346">
    <x:cfRule type="cellIs" dxfId="3" priority="1" operator="lessThan">
      <x:formula>0</x:formula>
    </x:cfRule>
  </x:conditionalFormatting>
  <x:dataValidations count="3">
    <x:dataValidation type="date" operator="greaterThanOrEqual" allowBlank="1" showInputMessage="1" showErrorMessage="1" error="Fecha mal _x000a_ingresada_x000a_(00-00-2024)" sqref="F3:G3">
      <x:formula1>45352</x:formula1>
    </x:dataValidation>
    <x:dataValidation type="list" allowBlank="1" showInputMessage="1" showErrorMessage="1" error="¡¡¡¡¡¡¡¡  HERRORRR   SOLO_x000a_ DATOS DE LA LISTA !!!!!!" prompt="¡¡.....  INGRESE _x000a_DATOS_x000a_DE LA LISTA ...!!" sqref="F2:G2">
      <x:formula1>$J$1:$J$11</x:formula1>
    </x:dataValidation>
    <x:dataValidation type="whole" allowBlank="1" showInputMessage="1" showErrorMessage="1" error="¡¡¡¡¡¡....Ingresar_x000a_solo_x000a_ numeros...!!!!!!!" sqref="F6:G346 C6:D346">
      <x:formula1>0</x:formula1>
      <x:formula2>500000</x:formula2>
    </x:dataValidation>
  </x:dataValidations>
  <x:pageMargins left="0.7" right="0.7" top="0.75" bottom="0.75" header="0.3" footer="0.3"/>
  <x:drawing xmlns:r="http://schemas.openxmlformats.org/officeDocument/2006/relationships" r:id="Raaccbe2be1fe4576"/>
  <x:tableParts count="1">
    <x:tablePart xmlns:r="http://schemas.openxmlformats.org/officeDocument/2006/relationships" r:id="R19a5add6f5944c2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11.42578125" defaultRowHeight="15"/>
  <x:cols>
    <x:col min="1" max="1" width="14.7109375" style="2" customWidth="1"/>
    <x:col min="2" max="2" width="54" style="10" customWidth="1"/>
    <x:col min="3" max="3" width="17.28515625" style="2" customWidth="1"/>
    <x:col min="4" max="4" width="14.7109375" style="2" customWidth="1"/>
    <x:col min="5" max="5" width="18.7109375" style="2" customWidth="1"/>
    <x:col min="6" max="6" width="17" style="2" customWidth="1"/>
    <x:col min="7" max="7" width="22.140625" style="2" customWidth="1"/>
    <x:col min="8" max="9" width="11.42578125" style="2" customWidth="0"/>
    <x:col min="10" max="10" width="0" style="2" hidden="1" customWidth="1"/>
    <x:col min="11" max="16384" width="11.42578125" style="2" customWidth="0"/>
  </x:cols>
  <x:sheetData>
    <x:row r="1" ht="15" customHeight="1">
      <x:c r="A1" s="30"/>
      <x:c r="B1" s="1"/>
      <x:c r="J1" s="2" t="s">
        <x:v>0</x:v>
      </x:c>
    </x:row>
    <x:row r="2" ht="15" customHeight="1">
      <x:c r="A2" s="30"/>
      <x:c r="B2" s="31" t="s">
        <x:v>1</x:v>
      </x:c>
      <x:c r="C2" s="31"/>
      <x:c r="D2" s="31"/>
      <x:c r="E2" s="3" t="s">
        <x:v>2</x:v>
      </x:c>
      <x:c r="F2" s="32" t="s">
        <x:v>3</x:v>
      </x:c>
      <x:c r="G2" s="32"/>
      <x:c r="J2" s="2" t="s">
        <x:v>4</x:v>
      </x:c>
    </x:row>
    <x:row r="3" ht="15" customHeight="1">
      <x:c r="A3" s="30"/>
      <x:c r="B3" s="31"/>
      <x:c r="C3" s="31"/>
      <x:c r="D3" s="31"/>
      <x:c r="E3" s="3" t="s">
        <x:v>5</x:v>
      </x:c>
      <x:c r="F3" s="33"/>
      <x:c r="G3" s="33"/>
      <x:c r="J3" s="2" t="s">
        <x:v>3</x:v>
      </x:c>
    </x:row>
    <x:row r="4" ht="15" customHeight="1">
      <x:c r="A4" s="30"/>
      <x:c r="B4" s="1"/>
      <x:c r="J4" s="2" t="s">
        <x:v>6</x:v>
      </x:c>
    </x:row>
    <x:row r="5" ht="15" customHeight="1">
      <x:c r="A5" s="4" t="s">
        <x:v>7</x:v>
      </x:c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7" t="s">
        <x:v>13</x:v>
      </x:c>
      <x:c r="J5" s="2" t="s">
        <x:v>14</x:v>
      </x:c>
    </x:row>
    <x:row r="6" ht="15" customHeight="1">
      <x:c r="A6" s="8" t="s">
        <x:v>654</x:v>
      </x:c>
      <x:c r="B6" s="8" t="s">
        <x:v>655</x:v>
      </x:c>
      <x:c r="C6" s="26"/>
      <x:c r="D6" s="26"/>
      <x:c r="E6" s="20" t="e">
        <x:f>-(Tabla26[[#This Row],[STOCK ACTUAL]]-Tabla26[[#This Row],[CONSUMO MENSUAL]]*1.15)</x:f>
        <x:v>#VALUE!</x:v>
      </x:c>
      <x:c r="F6" s="28"/>
      <x:c r="G6" s="11"/>
      <x:c r="J6" s="2" t="s">
        <x:v>311</x:v>
      </x:c>
    </x:row>
    <x:row r="7" ht="15" customHeight="1">
      <x:c r="A7" s="8" t="s">
        <x:v>654</x:v>
      </x:c>
      <x:c r="B7" s="8" t="s">
        <x:v>656</x:v>
      </x:c>
      <x:c r="C7" s="26"/>
      <x:c r="D7" s="26"/>
      <x:c r="E7" s="20" t="e">
        <x:f>-(Tabla26[[#This Row],[STOCK ACTUAL]]-Tabla26[[#This Row],[CONSUMO MENSUAL]]*1.15)</x:f>
        <x:v>#VALUE!</x:v>
      </x:c>
      <x:c r="F7" s="28"/>
      <x:c r="G7" s="11"/>
      <x:c r="J7" s="2" t="s">
        <x:v>17</x:v>
      </x:c>
    </x:row>
    <x:row r="8" ht="15" customHeight="1">
      <x:c r="A8" s="8" t="s">
        <x:v>654</x:v>
      </x:c>
      <x:c r="B8" s="8" t="s">
        <x:v>657</x:v>
      </x:c>
      <x:c r="C8" s="26"/>
      <x:c r="D8" s="26"/>
      <x:c r="E8" s="20" t="e">
        <x:f>-(Tabla26[[#This Row],[STOCK ACTUAL]]-Tabla26[[#This Row],[CONSUMO MENSUAL]]*1.15)</x:f>
        <x:v>#VALUE!</x:v>
      </x:c>
      <x:c r="F8" s="28"/>
      <x:c r="G8" s="11"/>
      <x:c r="J8" s="2" t="s">
        <x:v>20</x:v>
      </x:c>
    </x:row>
    <x:row r="9" ht="15" customHeight="1">
      <x:c r="A9" s="8" t="s">
        <x:v>654</x:v>
      </x:c>
      <x:c r="B9" s="8" t="s">
        <x:v>658</x:v>
      </x:c>
      <x:c r="C9" s="26"/>
      <x:c r="D9" s="26"/>
      <x:c r="E9" s="20" t="e">
        <x:f>-(Tabla26[[#This Row],[STOCK ACTUAL]]-Tabla26[[#This Row],[CONSUMO MENSUAL]]*1.15)</x:f>
        <x:v>#VALUE!</x:v>
      </x:c>
      <x:c r="F9" s="28"/>
      <x:c r="G9" s="11"/>
      <x:c r="J9" s="2" t="s">
        <x:v>22</x:v>
      </x:c>
    </x:row>
    <x:row r="10" ht="15" customHeight="1">
      <x:c r="A10" s="8" t="s">
        <x:v>654</x:v>
      </x:c>
      <x:c r="B10" s="8" t="s">
        <x:v>659</x:v>
      </x:c>
      <x:c r="C10" s="26"/>
      <x:c r="D10" s="26"/>
      <x:c r="E10" s="20" t="e">
        <x:f>-(Tabla26[[#This Row],[STOCK ACTUAL]]-Tabla26[[#This Row],[CONSUMO MENSUAL]]*1.15)</x:f>
        <x:v>#VALUE!</x:v>
      </x:c>
      <x:c r="F10" s="28"/>
      <x:c r="G10" s="11"/>
      <x:c r="J10" s="2" t="s">
        <x:v>24</x:v>
      </x:c>
    </x:row>
    <x:row r="11" ht="15" customHeight="1">
      <x:c r="A11" s="8" t="s">
        <x:v>654</x:v>
      </x:c>
      <x:c r="B11" s="8" t="s">
        <x:v>660</x:v>
      </x:c>
      <x:c r="C11" s="26"/>
      <x:c r="D11" s="26"/>
      <x:c r="E11" s="20" t="e">
        <x:f>-(Tabla26[[#This Row],[STOCK ACTUAL]]-Tabla26[[#This Row],[CONSUMO MENSUAL]]*1.15)</x:f>
        <x:v>#VALUE!</x:v>
      </x:c>
      <x:c r="F11" s="28"/>
      <x:c r="G11" s="11"/>
      <x:c r="J11" s="2" t="s">
        <x:v>27</x:v>
      </x:c>
    </x:row>
    <x:row r="12" ht="15" customHeight="1">
      <x:c r="A12" s="8" t="s">
        <x:v>654</x:v>
      </x:c>
      <x:c r="B12" s="8" t="s">
        <x:v>661</x:v>
      </x:c>
      <x:c r="C12" s="26"/>
      <x:c r="D12" s="26"/>
      <x:c r="E12" s="20" t="e">
        <x:f>-(Tabla26[[#This Row],[STOCK ACTUAL]]-Tabla26[[#This Row],[CONSUMO MENSUAL]]*1.15)</x:f>
        <x:v>#VALUE!</x:v>
      </x:c>
      <x:c r="F12" s="28"/>
      <x:c r="G12" s="11"/>
    </x:row>
    <x:row r="13" ht="15" customHeight="1">
      <x:c r="A13" s="8" t="s">
        <x:v>654</x:v>
      </x:c>
      <x:c r="B13" s="8" t="s">
        <x:v>662</x:v>
      </x:c>
      <x:c r="C13" s="26"/>
      <x:c r="D13" s="26"/>
      <x:c r="E13" s="20" t="e">
        <x:f>-(Tabla26[[#This Row],[STOCK ACTUAL]]-Tabla26[[#This Row],[CONSUMO MENSUAL]]*1.15)</x:f>
        <x:v>#VALUE!</x:v>
      </x:c>
      <x:c r="F13" s="28"/>
      <x:c r="G13" s="11"/>
    </x:row>
    <x:row r="14" ht="15" customHeight="1">
      <x:c r="A14" s="8" t="s">
        <x:v>654</x:v>
      </x:c>
      <x:c r="B14" s="8" t="s">
        <x:v>663</x:v>
      </x:c>
      <x:c r="C14" s="26"/>
      <x:c r="D14" s="26"/>
      <x:c r="E14" s="20" t="e">
        <x:f>-(Tabla26[[#This Row],[STOCK ACTUAL]]-Tabla26[[#This Row],[CONSUMO MENSUAL]]*1.15)</x:f>
        <x:v>#VALUE!</x:v>
      </x:c>
      <x:c r="F14" s="28"/>
      <x:c r="G14" s="11"/>
    </x:row>
    <x:row r="15" ht="15" customHeight="1">
      <x:c r="A15" s="8" t="s">
        <x:v>654</x:v>
      </x:c>
      <x:c r="B15" s="8" t="s">
        <x:v>664</x:v>
      </x:c>
      <x:c r="C15" s="26"/>
      <x:c r="D15" s="26"/>
      <x:c r="E15" s="20" t="e">
        <x:f>-(Tabla26[[#This Row],[STOCK ACTUAL]]-Tabla26[[#This Row],[CONSUMO MENSUAL]]*1.15)</x:f>
        <x:v>#VALUE!</x:v>
      </x:c>
      <x:c r="F15" s="28"/>
      <x:c r="G15" s="11"/>
    </x:row>
    <x:row r="16" ht="15" customHeight="1">
      <x:c r="A16" s="8" t="s">
        <x:v>654</x:v>
      </x:c>
      <x:c r="B16" s="8" t="s">
        <x:v>665</x:v>
      </x:c>
      <x:c r="C16" s="26"/>
      <x:c r="D16" s="26"/>
      <x:c r="E16" s="20" t="e">
        <x:f>-(Tabla26[[#This Row],[STOCK ACTUAL]]-Tabla26[[#This Row],[CONSUMO MENSUAL]]*1.15)</x:f>
        <x:v>#VALUE!</x:v>
      </x:c>
      <x:c r="F16" s="28"/>
      <x:c r="G16" s="11"/>
    </x:row>
    <x:row r="17" ht="15" customHeight="1">
      <x:c r="A17" s="8" t="s">
        <x:v>654</x:v>
      </x:c>
      <x:c r="B17" s="8" t="s">
        <x:v>666</x:v>
      </x:c>
      <x:c r="C17" s="26"/>
      <x:c r="D17" s="26"/>
      <x:c r="E17" s="20" t="e">
        <x:f>-(Tabla26[[#This Row],[STOCK ACTUAL]]-Tabla26[[#This Row],[CONSUMO MENSUAL]]*1.15)</x:f>
        <x:v>#VALUE!</x:v>
      </x:c>
      <x:c r="F17" s="28"/>
      <x:c r="G17" s="11"/>
    </x:row>
    <x:row r="18" ht="15" customHeight="1">
      <x:c r="A18" s="8" t="s">
        <x:v>654</x:v>
      </x:c>
      <x:c r="B18" s="8" t="s">
        <x:v>667</x:v>
      </x:c>
      <x:c r="C18" s="26"/>
      <x:c r="D18" s="26"/>
      <x:c r="E18" s="20" t="e">
        <x:f>-(Tabla26[[#This Row],[STOCK ACTUAL]]-Tabla26[[#This Row],[CONSUMO MENSUAL]]*1.15)</x:f>
        <x:v>#VALUE!</x:v>
      </x:c>
      <x:c r="F18" s="28"/>
      <x:c r="G18" s="11"/>
    </x:row>
    <x:row r="19" ht="15" customHeight="1">
      <x:c r="A19" s="8" t="s">
        <x:v>654</x:v>
      </x:c>
      <x:c r="B19" s="8" t="s">
        <x:v>668</x:v>
      </x:c>
      <x:c r="C19" s="26"/>
      <x:c r="D19" s="26"/>
      <x:c r="E19" s="20" t="e">
        <x:f>-(Tabla26[[#This Row],[STOCK ACTUAL]]-Tabla26[[#This Row],[CONSUMO MENSUAL]]*1.15)</x:f>
        <x:v>#VALUE!</x:v>
      </x:c>
      <x:c r="F19" s="28"/>
      <x:c r="G19" s="11"/>
    </x:row>
    <x:row r="20" ht="15" customHeight="1">
      <x:c r="A20" s="8" t="s">
        <x:v>654</x:v>
      </x:c>
      <x:c r="B20" s="8" t="s">
        <x:v>669</x:v>
      </x:c>
      <x:c r="C20" s="26"/>
      <x:c r="D20" s="26"/>
      <x:c r="E20" s="20" t="e">
        <x:f>-(Tabla26[[#This Row],[STOCK ACTUAL]]-Tabla26[[#This Row],[CONSUMO MENSUAL]]*1.15)</x:f>
        <x:v>#VALUE!</x:v>
      </x:c>
      <x:c r="F20" s="29"/>
      <x:c r="G20" s="11"/>
    </x:row>
    <x:row r="21" ht="15" customHeight="1">
      <x:c r="A21" s="8" t="s">
        <x:v>654</x:v>
      </x:c>
      <x:c r="B21" s="8" t="s">
        <x:v>670</x:v>
      </x:c>
      <x:c r="C21" s="26"/>
      <x:c r="D21" s="26"/>
      <x:c r="E21" s="20" t="e">
        <x:f>-(Tabla26[[#This Row],[STOCK ACTUAL]]-Tabla26[[#This Row],[CONSUMO MENSUAL]]*1.15)</x:f>
        <x:v>#VALUE!</x:v>
      </x:c>
      <x:c r="F21" s="28"/>
      <x:c r="G21" s="11"/>
    </x:row>
    <x:row r="22" ht="15" customHeight="1">
      <x:c r="A22" s="8" t="s">
        <x:v>654</x:v>
      </x:c>
      <x:c r="B22" s="8" t="s">
        <x:v>671</x:v>
      </x:c>
      <x:c r="C22" s="26"/>
      <x:c r="D22" s="26"/>
      <x:c r="E22" s="20" t="e">
        <x:f>-(Tabla26[[#This Row],[STOCK ACTUAL]]-Tabla26[[#This Row],[CONSUMO MENSUAL]]*1.15)</x:f>
        <x:v>#VALUE!</x:v>
      </x:c>
      <x:c r="F22" s="29"/>
      <x:c r="G22" s="11"/>
    </x:row>
    <x:row r="23" ht="15" customHeight="1">
      <x:c r="A23" s="8" t="s">
        <x:v>654</x:v>
      </x:c>
      <x:c r="B23" s="8" t="s">
        <x:v>672</x:v>
      </x:c>
      <x:c r="C23" s="26"/>
      <x:c r="D23" s="26"/>
      <x:c r="E23" s="20" t="e">
        <x:f>-(Tabla26[[#This Row],[STOCK ACTUAL]]-Tabla26[[#This Row],[CONSUMO MENSUAL]]*1.15)</x:f>
        <x:v>#VALUE!</x:v>
      </x:c>
      <x:c r="F23" s="29"/>
      <x:c r="G23" s="11"/>
    </x:row>
    <x:row r="24" ht="15" customHeight="1">
      <x:c r="A24" s="8" t="s">
        <x:v>654</x:v>
      </x:c>
      <x:c r="B24" s="8" t="s">
        <x:v>673</x:v>
      </x:c>
      <x:c r="C24" s="26"/>
      <x:c r="D24" s="26"/>
      <x:c r="E24" s="20" t="e">
        <x:f>-(Tabla26[[#This Row],[STOCK ACTUAL]]-Tabla26[[#This Row],[CONSUMO MENSUAL]]*1.15)</x:f>
        <x:v>#VALUE!</x:v>
      </x:c>
      <x:c r="F24" s="29"/>
      <x:c r="G24" s="11"/>
    </x:row>
    <x:row r="25" ht="15" customHeight="1">
      <x:c r="A25" s="8" t="s">
        <x:v>654</x:v>
      </x:c>
      <x:c r="B25" s="8" t="s">
        <x:v>674</x:v>
      </x:c>
      <x:c r="C25" s="26"/>
      <x:c r="D25" s="26"/>
      <x:c r="E25" s="20" t="e">
        <x:f>-(Tabla26[[#This Row],[STOCK ACTUAL]]-Tabla26[[#This Row],[CONSUMO MENSUAL]]*1.15)</x:f>
        <x:v>#VALUE!</x:v>
      </x:c>
      <x:c r="F25" s="29"/>
      <x:c r="G25" s="11"/>
    </x:row>
    <x:row r="26" ht="15" customHeight="1">
      <x:c r="A26" s="8" t="s">
        <x:v>654</x:v>
      </x:c>
      <x:c r="B26" s="8" t="s">
        <x:v>675</x:v>
      </x:c>
      <x:c r="C26" s="26"/>
      <x:c r="D26" s="26"/>
      <x:c r="E26" s="20" t="e">
        <x:f>-(Tabla26[[#This Row],[STOCK ACTUAL]]-Tabla26[[#This Row],[CONSUMO MENSUAL]]*1.15)</x:f>
        <x:v>#VALUE!</x:v>
      </x:c>
      <x:c r="F26" s="29"/>
      <x:c r="G26" s="11"/>
    </x:row>
    <x:row r="27" ht="15" customHeight="1">
      <x:c r="A27" s="8" t="s">
        <x:v>654</x:v>
      </x:c>
      <x:c r="B27" s="8" t="s">
        <x:v>676</x:v>
      </x:c>
      <x:c r="C27" s="26"/>
      <x:c r="D27" s="26"/>
      <x:c r="E27" s="20" t="e">
        <x:f>-(Tabla26[[#This Row],[STOCK ACTUAL]]-Tabla26[[#This Row],[CONSUMO MENSUAL]]*1.15)</x:f>
        <x:v>#VALUE!</x:v>
      </x:c>
      <x:c r="F27" s="29"/>
      <x:c r="G27" s="11"/>
    </x:row>
    <x:row r="28" ht="15" customHeight="1">
      <x:c r="A28" s="8" t="s">
        <x:v>654</x:v>
      </x:c>
      <x:c r="B28" s="8" t="s">
        <x:v>677</x:v>
      </x:c>
      <x:c r="C28" s="26"/>
      <x:c r="D28" s="26"/>
      <x:c r="E28" s="20" t="e">
        <x:f>-(Tabla26[[#This Row],[STOCK ACTUAL]]-Tabla26[[#This Row],[CONSUMO MENSUAL]]*1.15)</x:f>
        <x:v>#VALUE!</x:v>
      </x:c>
      <x:c r="F28" s="29"/>
      <x:c r="G28" s="11"/>
    </x:row>
    <x:row r="29" ht="15" customHeight="1">
      <x:c r="A29" s="8" t="s">
        <x:v>654</x:v>
      </x:c>
      <x:c r="B29" s="8" t="s">
        <x:v>678</x:v>
      </x:c>
      <x:c r="C29" s="26"/>
      <x:c r="D29" s="26"/>
      <x:c r="E29" s="20" t="e">
        <x:f>-(Tabla26[[#This Row],[STOCK ACTUAL]]-Tabla26[[#This Row],[CONSUMO MENSUAL]]*1.15)</x:f>
        <x:v>#VALUE!</x:v>
      </x:c>
      <x:c r="F29" s="29"/>
      <x:c r="G29" s="11"/>
    </x:row>
    <x:row r="30" ht="15" customHeight="1">
      <x:c r="A30" s="8" t="s">
        <x:v>654</x:v>
      </x:c>
      <x:c r="B30" s="8" t="s">
        <x:v>679</x:v>
      </x:c>
      <x:c r="C30" s="26"/>
      <x:c r="D30" s="26"/>
      <x:c r="E30" s="20" t="e">
        <x:f>-(Tabla26[[#This Row],[STOCK ACTUAL]]-Tabla26[[#This Row],[CONSUMO MENSUAL]]*1.15)</x:f>
        <x:v>#VALUE!</x:v>
      </x:c>
      <x:c r="F30" s="28"/>
      <x:c r="G30" s="11"/>
    </x:row>
    <x:row r="31" ht="15" customHeight="1">
      <x:c r="A31" s="8" t="s">
        <x:v>654</x:v>
      </x:c>
      <x:c r="B31" s="8" t="s">
        <x:v>680</x:v>
      </x:c>
      <x:c r="C31" s="26"/>
      <x:c r="D31" s="26"/>
      <x:c r="E31" s="20" t="e">
        <x:f>-(Tabla26[[#This Row],[STOCK ACTUAL]]-Tabla26[[#This Row],[CONSUMO MENSUAL]]*1.15)</x:f>
        <x:v>#VALUE!</x:v>
      </x:c>
      <x:c r="F31" s="28"/>
      <x:c r="G31" s="11"/>
    </x:row>
    <x:row r="32" ht="15" customHeight="1">
      <x:c r="A32" s="8" t="s">
        <x:v>654</x:v>
      </x:c>
      <x:c r="B32" s="8" t="s">
        <x:v>681</x:v>
      </x:c>
      <x:c r="C32" s="26"/>
      <x:c r="D32" s="26"/>
      <x:c r="E32" s="20" t="e">
        <x:f>-(Tabla26[[#This Row],[STOCK ACTUAL]]-Tabla26[[#This Row],[CONSUMO MENSUAL]]*1.15)</x:f>
        <x:v>#VALUE!</x:v>
      </x:c>
      <x:c r="F32" s="28"/>
      <x:c r="G32" s="11"/>
    </x:row>
    <x:row r="33" ht="15" customHeight="1">
      <x:c r="A33" s="8" t="s">
        <x:v>654</x:v>
      </x:c>
      <x:c r="B33" s="8" t="s">
        <x:v>682</x:v>
      </x:c>
      <x:c r="C33" s="26"/>
      <x:c r="D33" s="26"/>
      <x:c r="E33" s="20" t="e">
        <x:f>-(Tabla26[[#This Row],[STOCK ACTUAL]]-Tabla26[[#This Row],[CONSUMO MENSUAL]]*1.15)</x:f>
        <x:v>#VALUE!</x:v>
      </x:c>
      <x:c r="F33" s="28"/>
      <x:c r="G33" s="11"/>
    </x:row>
    <x:row r="34" ht="15" customHeight="1">
      <x:c r="A34" s="8" t="s">
        <x:v>654</x:v>
      </x:c>
      <x:c r="B34" s="8" t="s">
        <x:v>683</x:v>
      </x:c>
      <x:c r="C34" s="26"/>
      <x:c r="D34" s="26"/>
      <x:c r="E34" s="20" t="e">
        <x:f>-(Tabla26[[#This Row],[STOCK ACTUAL]]-Tabla26[[#This Row],[CONSUMO MENSUAL]]*1.15)</x:f>
        <x:v>#VALUE!</x:v>
      </x:c>
      <x:c r="F34" s="28"/>
      <x:c r="G34" s="11"/>
    </x:row>
    <x:row r="35" ht="15" customHeight="1">
      <x:c r="A35" s="8" t="s">
        <x:v>654</x:v>
      </x:c>
      <x:c r="B35" s="8" t="s">
        <x:v>684</x:v>
      </x:c>
      <x:c r="C35" s="26"/>
      <x:c r="D35" s="26"/>
      <x:c r="E35" s="20" t="e">
        <x:f>-(Tabla26[[#This Row],[STOCK ACTUAL]]-Tabla26[[#This Row],[CONSUMO MENSUAL]]*1.15)</x:f>
        <x:v>#VALUE!</x:v>
      </x:c>
      <x:c r="F35" s="28"/>
      <x:c r="G35" s="11"/>
    </x:row>
    <x:row r="36" ht="15" customHeight="1">
      <x:c r="A36" s="8" t="s">
        <x:v>654</x:v>
      </x:c>
      <x:c r="B36" s="8" t="s">
        <x:v>685</x:v>
      </x:c>
      <x:c r="C36" s="26"/>
      <x:c r="D36" s="26"/>
      <x:c r="E36" s="20" t="e">
        <x:f>-(Tabla26[[#This Row],[STOCK ACTUAL]]-Tabla26[[#This Row],[CONSUMO MENSUAL]]*1.15)</x:f>
        <x:v>#VALUE!</x:v>
      </x:c>
      <x:c r="F36" s="29"/>
      <x:c r="G36" s="11"/>
    </x:row>
    <x:row r="37" ht="15" customHeight="1">
      <x:c r="A37" s="8" t="s">
        <x:v>654</x:v>
      </x:c>
      <x:c r="B37" s="8" t="s">
        <x:v>686</x:v>
      </x:c>
      <x:c r="C37" s="26"/>
      <x:c r="D37" s="26"/>
      <x:c r="E37" s="20" t="e">
        <x:f>-(Tabla26[[#This Row],[STOCK ACTUAL]]-Tabla26[[#This Row],[CONSUMO MENSUAL]]*1.15)</x:f>
        <x:v>#VALUE!</x:v>
      </x:c>
      <x:c r="F37" s="29"/>
      <x:c r="G37" s="11"/>
    </x:row>
    <x:row r="38" ht="15" customHeight="1">
      <x:c r="A38" s="8" t="s">
        <x:v>654</x:v>
      </x:c>
      <x:c r="B38" s="8" t="s">
        <x:v>687</x:v>
      </x:c>
      <x:c r="C38" s="26"/>
      <x:c r="D38" s="26"/>
      <x:c r="E38" s="20" t="e">
        <x:f>-(Tabla26[[#This Row],[STOCK ACTUAL]]-Tabla26[[#This Row],[CONSUMO MENSUAL]]*1.15)</x:f>
        <x:v>#VALUE!</x:v>
      </x:c>
      <x:c r="F38" s="29"/>
      <x:c r="G38" s="11"/>
    </x:row>
    <x:row r="39" ht="15" customHeight="1">
      <x:c r="A39" s="8" t="s">
        <x:v>654</x:v>
      </x:c>
      <x:c r="B39" s="8" t="s">
        <x:v>688</x:v>
      </x:c>
      <x:c r="C39" s="26"/>
      <x:c r="D39" s="26"/>
      <x:c r="E39" s="20" t="e">
        <x:f>-(Tabla26[[#This Row],[STOCK ACTUAL]]-Tabla26[[#This Row],[CONSUMO MENSUAL]]*1.15)</x:f>
        <x:v>#VALUE!</x:v>
      </x:c>
      <x:c r="F39" s="28"/>
      <x:c r="G39" s="11"/>
    </x:row>
    <x:row r="40" ht="15" customHeight="1">
      <x:c r="A40" s="8" t="s">
        <x:v>654</x:v>
      </x:c>
      <x:c r="B40" s="8" t="s">
        <x:v>689</x:v>
      </x:c>
      <x:c r="C40" s="26"/>
      <x:c r="D40" s="26"/>
      <x:c r="E40" s="20" t="e">
        <x:f>-(Tabla26[[#This Row],[STOCK ACTUAL]]-Tabla26[[#This Row],[CONSUMO MENSUAL]]*1.15)</x:f>
        <x:v>#VALUE!</x:v>
      </x:c>
      <x:c r="F40" s="28"/>
      <x:c r="G40" s="11"/>
    </x:row>
    <x:row r="41" ht="15" customHeight="1">
      <x:c r="A41" s="8" t="s">
        <x:v>654</x:v>
      </x:c>
      <x:c r="B41" s="8" t="s">
        <x:v>690</x:v>
      </x:c>
      <x:c r="C41" s="26"/>
      <x:c r="D41" s="26"/>
      <x:c r="E41" s="20" t="e">
        <x:f>-(Tabla26[[#This Row],[STOCK ACTUAL]]-Tabla26[[#This Row],[CONSUMO MENSUAL]]*1.15)</x:f>
        <x:v>#VALUE!</x:v>
      </x:c>
      <x:c r="F41" s="28"/>
      <x:c r="G41" s="11"/>
    </x:row>
    <x:row r="42" ht="15" customHeight="1">
      <x:c r="A42" s="8" t="s">
        <x:v>654</x:v>
      </x:c>
      <x:c r="B42" s="8" t="s">
        <x:v>691</x:v>
      </x:c>
      <x:c r="C42" s="26"/>
      <x:c r="D42" s="26"/>
      <x:c r="E42" s="20" t="e">
        <x:f>-(Tabla26[[#This Row],[STOCK ACTUAL]]-Tabla26[[#This Row],[CONSUMO MENSUAL]]*1.15)</x:f>
        <x:v>#VALUE!</x:v>
      </x:c>
      <x:c r="F42" s="28"/>
      <x:c r="G42" s="11"/>
    </x:row>
    <x:row r="43" ht="15" customHeight="1">
      <x:c r="A43" s="8" t="s">
        <x:v>654</x:v>
      </x:c>
      <x:c r="B43" s="8" t="s">
        <x:v>692</x:v>
      </x:c>
      <x:c r="C43" s="26"/>
      <x:c r="D43" s="26"/>
      <x:c r="E43" s="20" t="e">
        <x:f>-(Tabla26[[#This Row],[STOCK ACTUAL]]-Tabla26[[#This Row],[CONSUMO MENSUAL]]*1.15)</x:f>
        <x:v>#VALUE!</x:v>
      </x:c>
      <x:c r="F43" s="28"/>
      <x:c r="G43" s="11"/>
    </x:row>
    <x:row r="44" ht="15" customHeight="1">
      <x:c r="A44" s="8" t="s">
        <x:v>654</x:v>
      </x:c>
      <x:c r="B44" s="8" t="s">
        <x:v>693</x:v>
      </x:c>
      <x:c r="C44" s="26"/>
      <x:c r="D44" s="26"/>
      <x:c r="E44" s="20" t="e">
        <x:f>-(Tabla26[[#This Row],[STOCK ACTUAL]]-Tabla26[[#This Row],[CONSUMO MENSUAL]]*1.15)</x:f>
        <x:v>#VALUE!</x:v>
      </x:c>
      <x:c r="F44" s="29"/>
      <x:c r="G44" s="11"/>
    </x:row>
    <x:row r="45" ht="15" customHeight="1">
      <x:c r="A45" s="8" t="s">
        <x:v>654</x:v>
      </x:c>
      <x:c r="B45" s="8" t="s">
        <x:v>694</x:v>
      </x:c>
      <x:c r="C45" s="26"/>
      <x:c r="D45" s="26"/>
      <x:c r="E45" s="20" t="e">
        <x:f>-(Tabla26[[#This Row],[STOCK ACTUAL]]-Tabla26[[#This Row],[CONSUMO MENSUAL]]*1.15)</x:f>
        <x:v>#VALUE!</x:v>
      </x:c>
      <x:c r="F45" s="29"/>
      <x:c r="G45" s="11"/>
    </x:row>
    <x:row r="46" ht="15" customHeight="1">
      <x:c r="A46" s="8" t="s">
        <x:v>654</x:v>
      </x:c>
      <x:c r="B46" s="8" t="s">
        <x:v>695</x:v>
      </x:c>
      <x:c r="C46" s="26"/>
      <x:c r="D46" s="26"/>
      <x:c r="E46" s="20" t="e">
        <x:f>-(Tabla26[[#This Row],[STOCK ACTUAL]]-Tabla26[[#This Row],[CONSUMO MENSUAL]]*1.15)</x:f>
        <x:v>#VALUE!</x:v>
      </x:c>
      <x:c r="F46" s="28"/>
      <x:c r="G46" s="11"/>
    </x:row>
    <x:row r="47" ht="15" customHeight="1">
      <x:c r="A47" s="8" t="s">
        <x:v>654</x:v>
      </x:c>
      <x:c r="B47" s="8" t="s">
        <x:v>696</x:v>
      </x:c>
      <x:c r="C47" s="26"/>
      <x:c r="D47" s="26"/>
      <x:c r="E47" s="20" t="e">
        <x:f>-(Tabla26[[#This Row],[STOCK ACTUAL]]-Tabla26[[#This Row],[CONSUMO MENSUAL]]*1.15)</x:f>
        <x:v>#VALUE!</x:v>
      </x:c>
      <x:c r="F47" s="28"/>
      <x:c r="G47" s="11"/>
    </x:row>
    <x:row r="48" ht="15" customHeight="1">
      <x:c r="A48" s="8" t="s">
        <x:v>654</x:v>
      </x:c>
      <x:c r="B48" s="8" t="s">
        <x:v>697</x:v>
      </x:c>
      <x:c r="C48" s="26"/>
      <x:c r="D48" s="26"/>
      <x:c r="E48" s="20" t="e">
        <x:f>-(Tabla26[[#This Row],[STOCK ACTUAL]]-Tabla26[[#This Row],[CONSUMO MENSUAL]]*1.15)</x:f>
        <x:v>#VALUE!</x:v>
      </x:c>
      <x:c r="F48" s="29"/>
      <x:c r="G48" s="11"/>
    </x:row>
    <x:row r="49" ht="15" customHeight="1">
      <x:c r="A49" s="8" t="s">
        <x:v>654</x:v>
      </x:c>
      <x:c r="B49" s="8" t="s">
        <x:v>698</x:v>
      </x:c>
      <x:c r="C49" s="26"/>
      <x:c r="D49" s="26"/>
      <x:c r="E49" s="20" t="e">
        <x:f>-(Tabla26[[#This Row],[STOCK ACTUAL]]-Tabla26[[#This Row],[CONSUMO MENSUAL]]*1.15)</x:f>
        <x:v>#VALUE!</x:v>
      </x:c>
      <x:c r="F49" s="29"/>
      <x:c r="G49" s="11"/>
    </x:row>
    <x:row r="50" ht="15" customHeight="1">
      <x:c r="A50" s="8" t="s">
        <x:v>654</x:v>
      </x:c>
      <x:c r="B50" s="8" t="s">
        <x:v>699</x:v>
      </x:c>
      <x:c r="C50" s="26"/>
      <x:c r="D50" s="26"/>
      <x:c r="E50" s="20" t="e">
        <x:f>-(Tabla26[[#This Row],[STOCK ACTUAL]]-Tabla26[[#This Row],[CONSUMO MENSUAL]]*1.15)</x:f>
        <x:v>#VALUE!</x:v>
      </x:c>
      <x:c r="F50" s="29"/>
      <x:c r="G50" s="11"/>
    </x:row>
    <x:row r="51" ht="15" customHeight="1">
      <x:c r="A51" s="8" t="s">
        <x:v>654</x:v>
      </x:c>
      <x:c r="B51" s="8" t="s">
        <x:v>700</x:v>
      </x:c>
      <x:c r="C51" s="26"/>
      <x:c r="D51" s="26"/>
      <x:c r="E51" s="20" t="e">
        <x:f>-(Tabla26[[#This Row],[STOCK ACTUAL]]-Tabla26[[#This Row],[CONSUMO MENSUAL]]*1.15)</x:f>
        <x:v>#VALUE!</x:v>
      </x:c>
      <x:c r="F51" s="29"/>
      <x:c r="G51" s="11"/>
    </x:row>
    <x:row r="52" ht="15" customHeight="1">
      <x:c r="A52" s="8" t="s">
        <x:v>654</x:v>
      </x:c>
      <x:c r="B52" s="8" t="s">
        <x:v>701</x:v>
      </x:c>
      <x:c r="C52" s="26"/>
      <x:c r="D52" s="26"/>
      <x:c r="E52" s="20" t="e">
        <x:f>-(Tabla26[[#This Row],[STOCK ACTUAL]]-Tabla26[[#This Row],[CONSUMO MENSUAL]]*1.15)</x:f>
        <x:v>#VALUE!</x:v>
      </x:c>
      <x:c r="F52" s="28"/>
      <x:c r="G52" s="11"/>
    </x:row>
    <x:row r="53" ht="15" customHeight="1">
      <x:c r="A53" s="8" t="s">
        <x:v>654</x:v>
      </x:c>
      <x:c r="B53" s="8" t="s">
        <x:v>702</x:v>
      </x:c>
      <x:c r="C53" s="26"/>
      <x:c r="D53" s="26"/>
      <x:c r="E53" s="20" t="e">
        <x:f>-(Tabla26[[#This Row],[STOCK ACTUAL]]-Tabla26[[#This Row],[CONSUMO MENSUAL]]*1.15)</x:f>
        <x:v>#VALUE!</x:v>
      </x:c>
      <x:c r="F53" s="28"/>
      <x:c r="G53" s="11"/>
    </x:row>
    <x:row r="54" ht="15" customHeight="1">
      <x:c r="A54" s="8" t="s">
        <x:v>334</x:v>
      </x:c>
      <x:c r="B54" s="8" t="s">
        <x:v>426</x:v>
      </x:c>
      <x:c r="C54" s="26"/>
      <x:c r="D54" s="26"/>
      <x:c r="E54" s="20" t="e">
        <x:f>-(Tabla26[[#This Row],[STOCK ACTUAL]]-Tabla26[[#This Row],[CONSUMO MENSUAL]]*1.15)</x:f>
        <x:v>#VALUE!</x:v>
      </x:c>
      <x:c r="F54" s="29"/>
      <x:c r="G54" s="11"/>
    </x:row>
    <x:row r="55" ht="15" customHeight="1">
      <x:c r="A55" s="8" t="s">
        <x:v>654</x:v>
      </x:c>
      <x:c r="B55" s="8" t="s">
        <x:v>703</x:v>
      </x:c>
      <x:c r="C55" s="26"/>
      <x:c r="D55" s="26"/>
      <x:c r="E55" s="20" t="e">
        <x:f>-(Tabla26[[#This Row],[STOCK ACTUAL]]-Tabla26[[#This Row],[CONSUMO MENSUAL]]*1.15)</x:f>
        <x:v>#VALUE!</x:v>
      </x:c>
      <x:c r="F55" s="29"/>
      <x:c r="G55" s="11"/>
    </x:row>
    <x:row r="56" ht="15" customHeight="1">
      <x:c r="A56" s="8" t="s">
        <x:v>654</x:v>
      </x:c>
      <x:c r="B56" s="8" t="s">
        <x:v>704</x:v>
      </x:c>
      <x:c r="C56" s="26"/>
      <x:c r="D56" s="26"/>
      <x:c r="E56" s="20" t="e">
        <x:f>-(Tabla26[[#This Row],[STOCK ACTUAL]]-Tabla26[[#This Row],[CONSUMO MENSUAL]]*1.15)</x:f>
        <x:v>#VALUE!</x:v>
      </x:c>
      <x:c r="F56" s="28"/>
      <x:c r="G56" s="11"/>
    </x:row>
    <x:row r="57" ht="15" customHeight="1">
      <x:c r="A57" s="8" t="s">
        <x:v>654</x:v>
      </x:c>
      <x:c r="B57" s="8" t="s">
        <x:v>705</x:v>
      </x:c>
      <x:c r="C57" s="26"/>
      <x:c r="D57" s="26"/>
      <x:c r="E57" s="20" t="e">
        <x:f>-(Tabla26[[#This Row],[STOCK ACTUAL]]-Tabla26[[#This Row],[CONSUMO MENSUAL]]*1.15)</x:f>
        <x:v>#VALUE!</x:v>
      </x:c>
      <x:c r="F57" s="29"/>
      <x:c r="G57" s="11"/>
    </x:row>
    <x:row r="58" ht="15" customHeight="1">
      <x:c r="A58" s="8" t="s">
        <x:v>654</x:v>
      </x:c>
      <x:c r="B58" s="8" t="s">
        <x:v>706</x:v>
      </x:c>
      <x:c r="C58" s="26"/>
      <x:c r="D58" s="26"/>
      <x:c r="E58" s="20" t="e">
        <x:f>-(Tabla26[[#This Row],[STOCK ACTUAL]]-Tabla26[[#This Row],[CONSUMO MENSUAL]]*1.15)</x:f>
        <x:v>#VALUE!</x:v>
      </x:c>
      <x:c r="F58" s="28"/>
      <x:c r="G58" s="11"/>
    </x:row>
    <x:row r="59" ht="15" customHeight="1">
      <x:c r="A59" s="8" t="s">
        <x:v>654</x:v>
      </x:c>
      <x:c r="B59" s="8" t="s">
        <x:v>707</x:v>
      </x:c>
      <x:c r="C59" s="26"/>
      <x:c r="D59" s="26"/>
      <x:c r="E59" s="20" t="e">
        <x:f>-(Tabla26[[#This Row],[STOCK ACTUAL]]-Tabla26[[#This Row],[CONSUMO MENSUAL]]*1.15)</x:f>
        <x:v>#VALUE!</x:v>
      </x:c>
      <x:c r="F59" s="28"/>
      <x:c r="G59" s="11"/>
    </x:row>
    <x:row r="60" ht="15" customHeight="1">
      <x:c r="A60" s="8" t="s">
        <x:v>654</x:v>
      </x:c>
      <x:c r="B60" s="8" t="s">
        <x:v>708</x:v>
      </x:c>
      <x:c r="C60" s="26"/>
      <x:c r="D60" s="26"/>
      <x:c r="E60" s="20" t="e">
        <x:f>-(Tabla26[[#This Row],[STOCK ACTUAL]]-Tabla26[[#This Row],[CONSUMO MENSUAL]]*1.15)</x:f>
        <x:v>#VALUE!</x:v>
      </x:c>
      <x:c r="F60" s="29"/>
      <x:c r="G60" s="11"/>
    </x:row>
    <x:row r="61" ht="15" customHeight="1">
      <x:c r="A61" s="8" t="s">
        <x:v>654</x:v>
      </x:c>
      <x:c r="B61" s="8" t="s">
        <x:v>709</x:v>
      </x:c>
      <x:c r="C61" s="26"/>
      <x:c r="D61" s="26"/>
      <x:c r="E61" s="20" t="e">
        <x:f>-(Tabla26[[#This Row],[STOCK ACTUAL]]-Tabla26[[#This Row],[CONSUMO MENSUAL]]*1.15)</x:f>
        <x:v>#VALUE!</x:v>
      </x:c>
      <x:c r="F61" s="28"/>
      <x:c r="G61" s="11"/>
    </x:row>
    <x:row r="62" ht="15" customHeight="1">
      <x:c r="A62" s="8" t="s">
        <x:v>654</x:v>
      </x:c>
      <x:c r="B62" s="8" t="s">
        <x:v>710</x:v>
      </x:c>
      <x:c r="C62" s="26"/>
      <x:c r="D62" s="26"/>
      <x:c r="E62" s="20" t="e">
        <x:f>-(Tabla26[[#This Row],[STOCK ACTUAL]]-Tabla26[[#This Row],[CONSUMO MENSUAL]]*1.15)</x:f>
        <x:v>#VALUE!</x:v>
      </x:c>
      <x:c r="F62" s="28"/>
      <x:c r="G62" s="11"/>
    </x:row>
    <x:row r="63" ht="15" customHeight="1">
      <x:c r="A63" s="8" t="s">
        <x:v>654</x:v>
      </x:c>
      <x:c r="B63" s="8" t="s">
        <x:v>711</x:v>
      </x:c>
      <x:c r="C63" s="26"/>
      <x:c r="D63" s="26"/>
      <x:c r="E63" s="20" t="e">
        <x:f>-(Tabla26[[#This Row],[STOCK ACTUAL]]-Tabla26[[#This Row],[CONSUMO MENSUAL]]*1.15)</x:f>
        <x:v>#VALUE!</x:v>
      </x:c>
      <x:c r="F63" s="28"/>
      <x:c r="G63" s="11"/>
    </x:row>
    <x:row r="64" ht="15" customHeight="1">
      <x:c r="A64" s="8" t="s">
        <x:v>654</x:v>
      </x:c>
      <x:c r="B64" s="8" t="s">
        <x:v>712</x:v>
      </x:c>
      <x:c r="C64" s="26"/>
      <x:c r="D64" s="26"/>
      <x:c r="E64" s="20" t="e">
        <x:f>-(Tabla26[[#This Row],[STOCK ACTUAL]]-Tabla26[[#This Row],[CONSUMO MENSUAL]]*1.15)</x:f>
        <x:v>#VALUE!</x:v>
      </x:c>
      <x:c r="F64" s="28"/>
      <x:c r="G64" s="11"/>
    </x:row>
    <x:row r="65" ht="15" customHeight="1">
      <x:c r="A65" s="8" t="s">
        <x:v>45</x:v>
      </x:c>
      <x:c r="B65" s="8" t="s">
        <x:v>713</x:v>
      </x:c>
      <x:c r="C65" s="26"/>
      <x:c r="D65" s="26"/>
      <x:c r="E65" s="20" t="e">
        <x:f>-(Tabla26[[#This Row],[STOCK ACTUAL]]-Tabla26[[#This Row],[CONSUMO MENSUAL]]*1.15)</x:f>
        <x:v>#VALUE!</x:v>
      </x:c>
      <x:c r="F65" s="29"/>
      <x:c r="G65" s="11"/>
    </x:row>
    <x:row r="66" ht="15" customHeight="1">
      <x:c r="A66" s="8" t="s">
        <x:v>654</x:v>
      </x:c>
      <x:c r="B66" s="8" t="s">
        <x:v>714</x:v>
      </x:c>
      <x:c r="C66" s="26"/>
      <x:c r="D66" s="26"/>
      <x:c r="E66" s="20" t="e">
        <x:f>-(Tabla26[[#This Row],[STOCK ACTUAL]]-Tabla26[[#This Row],[CONSUMO MENSUAL]]*1.15)</x:f>
        <x:v>#VALUE!</x:v>
      </x:c>
      <x:c r="F66" s="29"/>
      <x:c r="G66" s="11"/>
    </x:row>
    <x:row r="67" ht="15" customHeight="1">
      <x:c r="A67" s="8" t="s">
        <x:v>654</x:v>
      </x:c>
      <x:c r="B67" s="8" t="s">
        <x:v>715</x:v>
      </x:c>
      <x:c r="C67" s="26"/>
      <x:c r="D67" s="26"/>
      <x:c r="E67" s="20" t="e">
        <x:f>-(Tabla26[[#This Row],[STOCK ACTUAL]]-Tabla26[[#This Row],[CONSUMO MENSUAL]]*1.15)</x:f>
        <x:v>#VALUE!</x:v>
      </x:c>
      <x:c r="F67" s="29"/>
      <x:c r="G67" s="11"/>
    </x:row>
    <x:row r="68" ht="15" customHeight="1">
      <x:c r="A68" s="8" t="s">
        <x:v>654</x:v>
      </x:c>
      <x:c r="B68" s="8" t="s">
        <x:v>716</x:v>
      </x:c>
      <x:c r="C68" s="26"/>
      <x:c r="D68" s="26"/>
      <x:c r="E68" s="20" t="e">
        <x:f>-(Tabla26[[#This Row],[STOCK ACTUAL]]-Tabla26[[#This Row],[CONSUMO MENSUAL]]*1.15)</x:f>
        <x:v>#VALUE!</x:v>
      </x:c>
      <x:c r="F68" s="29"/>
      <x:c r="G68" s="11"/>
    </x:row>
    <x:row r="69" ht="15" customHeight="1">
      <x:c r="A69" s="8" t="s">
        <x:v>654</x:v>
      </x:c>
      <x:c r="B69" s="8" t="s">
        <x:v>717</x:v>
      </x:c>
      <x:c r="C69" s="26"/>
      <x:c r="D69" s="26"/>
      <x:c r="E69" s="20" t="e">
        <x:f>-(Tabla26[[#This Row],[STOCK ACTUAL]]-Tabla26[[#This Row],[CONSUMO MENSUAL]]*1.15)</x:f>
        <x:v>#VALUE!</x:v>
      </x:c>
      <x:c r="F69" s="29"/>
      <x:c r="G69" s="11"/>
    </x:row>
    <x:row r="70" ht="15" customHeight="1">
      <x:c r="A70" s="8" t="s">
        <x:v>654</x:v>
      </x:c>
      <x:c r="B70" s="8" t="s">
        <x:v>718</x:v>
      </x:c>
      <x:c r="C70" s="26"/>
      <x:c r="D70" s="26"/>
      <x:c r="E70" s="20" t="e">
        <x:f>-(Tabla26[[#This Row],[STOCK ACTUAL]]-Tabla26[[#This Row],[CONSUMO MENSUAL]]*1.15)</x:f>
        <x:v>#VALUE!</x:v>
      </x:c>
      <x:c r="F70" s="28"/>
      <x:c r="G70" s="11"/>
    </x:row>
    <x:row r="71" ht="15" customHeight="1">
      <x:c r="A71" s="8" t="s">
        <x:v>654</x:v>
      </x:c>
      <x:c r="B71" s="8" t="s">
        <x:v>719</x:v>
      </x:c>
      <x:c r="C71" s="26"/>
      <x:c r="D71" s="26"/>
      <x:c r="E71" s="20" t="e">
        <x:f>-(Tabla26[[#This Row],[STOCK ACTUAL]]-Tabla26[[#This Row],[CONSUMO MENSUAL]]*1.15)</x:f>
        <x:v>#VALUE!</x:v>
      </x:c>
      <x:c r="F71" s="28"/>
      <x:c r="G71" s="11"/>
    </x:row>
    <x:row r="72" ht="15" customHeight="1">
      <x:c r="A72" s="8" t="s">
        <x:v>654</x:v>
      </x:c>
      <x:c r="B72" s="8" t="s">
        <x:v>720</x:v>
      </x:c>
      <x:c r="C72" s="26"/>
      <x:c r="D72" s="26"/>
      <x:c r="E72" s="20" t="e">
        <x:f>-(Tabla26[[#This Row],[STOCK ACTUAL]]-Tabla26[[#This Row],[CONSUMO MENSUAL]]*1.15)</x:f>
        <x:v>#VALUE!</x:v>
      </x:c>
      <x:c r="F72" s="28"/>
      <x:c r="G72" s="11"/>
    </x:row>
    <x:row r="73" ht="15" customHeight="1">
      <x:c r="A73" s="8" t="s">
        <x:v>654</x:v>
      </x:c>
      <x:c r="B73" s="8" t="s">
        <x:v>721</x:v>
      </x:c>
      <x:c r="C73" s="26"/>
      <x:c r="D73" s="26"/>
      <x:c r="E73" s="20" t="e">
        <x:f>-(Tabla26[[#This Row],[STOCK ACTUAL]]-Tabla26[[#This Row],[CONSUMO MENSUAL]]*1.15)</x:f>
        <x:v>#VALUE!</x:v>
      </x:c>
      <x:c r="F73" s="29"/>
      <x:c r="G73" s="11"/>
    </x:row>
    <x:row r="74" ht="15" customHeight="1">
      <x:c r="A74" s="8" t="s">
        <x:v>654</x:v>
      </x:c>
      <x:c r="B74" s="8" t="s">
        <x:v>722</x:v>
      </x:c>
      <x:c r="C74" s="26"/>
      <x:c r="D74" s="26"/>
      <x:c r="E74" s="20" t="e">
        <x:f>-(Tabla26[[#This Row],[STOCK ACTUAL]]-Tabla26[[#This Row],[CONSUMO MENSUAL]]*1.15)</x:f>
        <x:v>#VALUE!</x:v>
      </x:c>
      <x:c r="F74" s="29"/>
      <x:c r="G74" s="11"/>
    </x:row>
    <x:row r="75" ht="15" customHeight="1">
      <x:c r="A75" s="8" t="s">
        <x:v>654</x:v>
      </x:c>
      <x:c r="B75" s="8" t="s">
        <x:v>723</x:v>
      </x:c>
      <x:c r="C75" s="26"/>
      <x:c r="D75" s="26"/>
      <x:c r="E75" s="20" t="e">
        <x:f>-(Tabla26[[#This Row],[STOCK ACTUAL]]-Tabla26[[#This Row],[CONSUMO MENSUAL]]*1.15)</x:f>
        <x:v>#VALUE!</x:v>
      </x:c>
      <x:c r="F75" s="29"/>
      <x:c r="G75" s="11"/>
    </x:row>
    <x:row r="76" ht="15" customHeight="1">
      <x:c r="A76" s="8" t="s">
        <x:v>654</x:v>
      </x:c>
      <x:c r="B76" s="8" t="s">
        <x:v>724</x:v>
      </x:c>
      <x:c r="C76" s="26"/>
      <x:c r="D76" s="26"/>
      <x:c r="E76" s="20" t="e">
        <x:f>-(Tabla26[[#This Row],[STOCK ACTUAL]]-Tabla26[[#This Row],[CONSUMO MENSUAL]]*1.15)</x:f>
        <x:v>#VALUE!</x:v>
      </x:c>
      <x:c r="F76" s="29"/>
      <x:c r="G76" s="11"/>
    </x:row>
    <x:row r="77" ht="15" customHeight="1">
      <x:c r="A77" s="8" t="s">
        <x:v>654</x:v>
      </x:c>
      <x:c r="B77" s="8" t="s">
        <x:v>725</x:v>
      </x:c>
      <x:c r="C77" s="26"/>
      <x:c r="D77" s="26"/>
      <x:c r="E77" s="20" t="e">
        <x:f>-(Tabla26[[#This Row],[STOCK ACTUAL]]-Tabla26[[#This Row],[CONSUMO MENSUAL]]*1.15)</x:f>
        <x:v>#VALUE!</x:v>
      </x:c>
      <x:c r="F77" s="29"/>
      <x:c r="G77" s="11"/>
    </x:row>
    <x:row r="78" ht="15" customHeight="1">
      <x:c r="A78" s="8" t="s">
        <x:v>654</x:v>
      </x:c>
      <x:c r="B78" s="8" t="s">
        <x:v>726</x:v>
      </x:c>
      <x:c r="C78" s="26"/>
      <x:c r="D78" s="26"/>
      <x:c r="E78" s="20" t="e">
        <x:f>-(Tabla26[[#This Row],[STOCK ACTUAL]]-Tabla26[[#This Row],[CONSUMO MENSUAL]]*1.15)</x:f>
        <x:v>#VALUE!</x:v>
      </x:c>
      <x:c r="F78" s="29"/>
      <x:c r="G78" s="11"/>
    </x:row>
    <x:row r="79" ht="15" customHeight="1">
      <x:c r="A79" s="8" t="s">
        <x:v>654</x:v>
      </x:c>
      <x:c r="B79" s="8" t="s">
        <x:v>727</x:v>
      </x:c>
      <x:c r="C79" s="26"/>
      <x:c r="D79" s="26"/>
      <x:c r="E79" s="20" t="e">
        <x:f>-(Tabla26[[#This Row],[STOCK ACTUAL]]-Tabla26[[#This Row],[CONSUMO MENSUAL]]*1.15)</x:f>
        <x:v>#VALUE!</x:v>
      </x:c>
      <x:c r="F79" s="29"/>
      <x:c r="G79" s="11"/>
    </x:row>
    <x:row r="80" ht="15" customHeight="1">
      <x:c r="A80" s="8" t="s">
        <x:v>654</x:v>
      </x:c>
      <x:c r="B80" s="8" t="s">
        <x:v>728</x:v>
      </x:c>
      <x:c r="C80" s="26"/>
      <x:c r="D80" s="26"/>
      <x:c r="E80" s="20" t="e">
        <x:f>-(Tabla26[[#This Row],[STOCK ACTUAL]]-Tabla26[[#This Row],[CONSUMO MENSUAL]]*1.15)</x:f>
        <x:v>#VALUE!</x:v>
      </x:c>
      <x:c r="F80" s="29"/>
      <x:c r="G80" s="11"/>
    </x:row>
    <x:row r="81" ht="15" customHeight="1">
      <x:c r="A81" s="8" t="s">
        <x:v>654</x:v>
      </x:c>
      <x:c r="B81" s="8" t="s">
        <x:v>729</x:v>
      </x:c>
      <x:c r="C81" s="26"/>
      <x:c r="D81" s="26"/>
      <x:c r="E81" s="20" t="e">
        <x:f>-(Tabla26[[#This Row],[STOCK ACTUAL]]-Tabla26[[#This Row],[CONSUMO MENSUAL]]*1.15)</x:f>
        <x:v>#VALUE!</x:v>
      </x:c>
      <x:c r="F81" s="28"/>
      <x:c r="G81" s="11"/>
    </x:row>
    <x:row r="82" ht="15" customHeight="1">
      <x:c r="A82" s="8" t="s">
        <x:v>654</x:v>
      </x:c>
      <x:c r="B82" s="8" t="s">
        <x:v>730</x:v>
      </x:c>
      <x:c r="C82" s="26"/>
      <x:c r="D82" s="26"/>
      <x:c r="E82" s="20" t="e">
        <x:f>-(Tabla26[[#This Row],[STOCK ACTUAL]]-Tabla26[[#This Row],[CONSUMO MENSUAL]]*1.15)</x:f>
        <x:v>#VALUE!</x:v>
      </x:c>
      <x:c r="F82" s="29"/>
      <x:c r="G82" s="11"/>
    </x:row>
    <x:row r="83" ht="15" customHeight="1">
      <x:c r="A83" s="8" t="s">
        <x:v>654</x:v>
      </x:c>
      <x:c r="B83" s="8" t="s">
        <x:v>731</x:v>
      </x:c>
      <x:c r="C83" s="26"/>
      <x:c r="D83" s="26"/>
      <x:c r="E83" s="20" t="e">
        <x:f>-(Tabla26[[#This Row],[STOCK ACTUAL]]-Tabla26[[#This Row],[CONSUMO MENSUAL]]*1.15)</x:f>
        <x:v>#VALUE!</x:v>
      </x:c>
      <x:c r="F83" s="29"/>
      <x:c r="G83" s="11"/>
    </x:row>
    <x:row r="84" ht="15" customHeight="1">
      <x:c r="A84" s="8" t="s">
        <x:v>654</x:v>
      </x:c>
      <x:c r="B84" s="8" t="s">
        <x:v>732</x:v>
      </x:c>
      <x:c r="C84" s="26"/>
      <x:c r="D84" s="26"/>
      <x:c r="E84" s="20" t="e">
        <x:f>-(Tabla26[[#This Row],[STOCK ACTUAL]]-Tabla26[[#This Row],[CONSUMO MENSUAL]]*1.15)</x:f>
        <x:v>#VALUE!</x:v>
      </x:c>
      <x:c r="F84" s="29"/>
      <x:c r="G84" s="11"/>
    </x:row>
    <x:row r="85" ht="15" customHeight="1">
      <x:c r="A85" s="8" t="s">
        <x:v>654</x:v>
      </x:c>
      <x:c r="B85" s="8" t="s">
        <x:v>733</x:v>
      </x:c>
      <x:c r="C85" s="26"/>
      <x:c r="D85" s="26"/>
      <x:c r="E85" s="20" t="e">
        <x:f>-(Tabla26[[#This Row],[STOCK ACTUAL]]-Tabla26[[#This Row],[CONSUMO MENSUAL]]*1.15)</x:f>
        <x:v>#VALUE!</x:v>
      </x:c>
      <x:c r="F85" s="29"/>
      <x:c r="G85" s="11"/>
    </x:row>
    <x:row r="86" ht="15" customHeight="1">
      <x:c r="A86" s="8" t="s">
        <x:v>654</x:v>
      </x:c>
      <x:c r="B86" s="8" t="s">
        <x:v>734</x:v>
      </x:c>
      <x:c r="C86" s="26"/>
      <x:c r="D86" s="26"/>
      <x:c r="E86" s="20" t="e">
        <x:f>-(Tabla26[[#This Row],[STOCK ACTUAL]]-Tabla26[[#This Row],[CONSUMO MENSUAL]]*1.15)</x:f>
        <x:v>#VALUE!</x:v>
      </x:c>
      <x:c r="F86" s="29"/>
      <x:c r="G86" s="11"/>
    </x:row>
    <x:row r="87" ht="15" customHeight="1">
      <x:c r="A87" s="8" t="s">
        <x:v>654</x:v>
      </x:c>
      <x:c r="B87" s="8" t="s">
        <x:v>735</x:v>
      </x:c>
      <x:c r="C87" s="26"/>
      <x:c r="D87" s="26"/>
      <x:c r="E87" s="20" t="e">
        <x:f>-(Tabla26[[#This Row],[STOCK ACTUAL]]-Tabla26[[#This Row],[CONSUMO MENSUAL]]*1.15)</x:f>
        <x:v>#VALUE!</x:v>
      </x:c>
      <x:c r="F87" s="29"/>
      <x:c r="G87" s="11"/>
    </x:row>
    <x:row r="88" ht="15" customHeight="1">
      <x:c r="A88" s="8" t="s">
        <x:v>654</x:v>
      </x:c>
      <x:c r="B88" s="8" t="s">
        <x:v>736</x:v>
      </x:c>
      <x:c r="C88" s="26"/>
      <x:c r="D88" s="26"/>
      <x:c r="E88" s="20" t="e">
        <x:f>-(Tabla26[[#This Row],[STOCK ACTUAL]]-Tabla26[[#This Row],[CONSUMO MENSUAL]]*1.15)</x:f>
        <x:v>#VALUE!</x:v>
      </x:c>
      <x:c r="F88" s="28"/>
      <x:c r="G88" s="11"/>
    </x:row>
    <x:row r="89" ht="15" customHeight="1">
      <x:c r="A89" s="8" t="s">
        <x:v>654</x:v>
      </x:c>
      <x:c r="B89" s="8" t="s">
        <x:v>737</x:v>
      </x:c>
      <x:c r="C89" s="26"/>
      <x:c r="D89" s="26"/>
      <x:c r="E89" s="20" t="e">
        <x:f>-(Tabla26[[#This Row],[STOCK ACTUAL]]-Tabla26[[#This Row],[CONSUMO MENSUAL]]*1.15)</x:f>
        <x:v>#VALUE!</x:v>
      </x:c>
      <x:c r="F89" s="29"/>
      <x:c r="G89" s="11"/>
    </x:row>
    <x:row r="90" ht="15" customHeight="1">
      <x:c r="A90" s="8" t="s">
        <x:v>654</x:v>
      </x:c>
      <x:c r="B90" s="8" t="s">
        <x:v>738</x:v>
      </x:c>
      <x:c r="C90" s="26"/>
      <x:c r="D90" s="26"/>
      <x:c r="E90" s="20" t="e">
        <x:f>-(Tabla26[[#This Row],[STOCK ACTUAL]]-Tabla26[[#This Row],[CONSUMO MENSUAL]]*1.15)</x:f>
        <x:v>#VALUE!</x:v>
      </x:c>
      <x:c r="F90" s="29"/>
      <x:c r="G90" s="11"/>
    </x:row>
    <x:row r="91" ht="15" customHeight="1">
      <x:c r="A91" s="8" t="s">
        <x:v>654</x:v>
      </x:c>
      <x:c r="B91" s="8" t="s">
        <x:v>739</x:v>
      </x:c>
      <x:c r="C91" s="26"/>
      <x:c r="D91" s="26"/>
      <x:c r="E91" s="20" t="e">
        <x:f>-(Tabla26[[#This Row],[STOCK ACTUAL]]-Tabla26[[#This Row],[CONSUMO MENSUAL]]*1.15)</x:f>
        <x:v>#VALUE!</x:v>
      </x:c>
      <x:c r="F91" s="29"/>
      <x:c r="G91" s="11"/>
    </x:row>
    <x:row r="92" ht="15" customHeight="1">
      <x:c r="A92" s="8" t="s">
        <x:v>654</x:v>
      </x:c>
      <x:c r="B92" s="8" t="s">
        <x:v>740</x:v>
      </x:c>
      <x:c r="C92" s="26"/>
      <x:c r="D92" s="26"/>
      <x:c r="E92" s="20" t="e">
        <x:f>-(Tabla26[[#This Row],[STOCK ACTUAL]]-Tabla26[[#This Row],[CONSUMO MENSUAL]]*1.15)</x:f>
        <x:v>#VALUE!</x:v>
      </x:c>
      <x:c r="F92" s="29"/>
      <x:c r="G92" s="11"/>
    </x:row>
    <x:row r="93" ht="15" customHeight="1">
      <x:c r="A93" s="8" t="s">
        <x:v>654</x:v>
      </x:c>
      <x:c r="B93" s="8" t="s">
        <x:v>741</x:v>
      </x:c>
      <x:c r="C93" s="26"/>
      <x:c r="D93" s="26"/>
      <x:c r="E93" s="20" t="e">
        <x:f>-(Tabla26[[#This Row],[STOCK ACTUAL]]-Tabla26[[#This Row],[CONSUMO MENSUAL]]*1.15)</x:f>
        <x:v>#VALUE!</x:v>
      </x:c>
      <x:c r="F93" s="29"/>
      <x:c r="G93" s="11"/>
    </x:row>
    <x:row r="94" ht="15" customHeight="1">
      <x:c r="A94" s="8" t="s">
        <x:v>654</x:v>
      </x:c>
      <x:c r="B94" s="8" t="s">
        <x:v>742</x:v>
      </x:c>
      <x:c r="C94" s="26"/>
      <x:c r="D94" s="26"/>
      <x:c r="E94" s="20" t="e">
        <x:f>-(Tabla26[[#This Row],[STOCK ACTUAL]]-Tabla26[[#This Row],[CONSUMO MENSUAL]]*1.15)</x:f>
        <x:v>#VALUE!</x:v>
      </x:c>
      <x:c r="F94" s="29"/>
      <x:c r="G94" s="11"/>
    </x:row>
    <x:row r="95" ht="15" customHeight="1">
      <x:c r="A95" s="8" t="s">
        <x:v>654</x:v>
      </x:c>
      <x:c r="B95" s="8" t="s">
        <x:v>743</x:v>
      </x:c>
      <x:c r="C95" s="26"/>
      <x:c r="D95" s="26"/>
      <x:c r="E95" s="20" t="e">
        <x:f>-(Tabla26[[#This Row],[STOCK ACTUAL]]-Tabla26[[#This Row],[CONSUMO MENSUAL]]*1.15)</x:f>
        <x:v>#VALUE!</x:v>
      </x:c>
      <x:c r="F95" s="29"/>
      <x:c r="G95" s="11"/>
    </x:row>
    <x:row r="96" ht="15" customHeight="1">
      <x:c r="A96" s="8" t="s">
        <x:v>654</x:v>
      </x:c>
      <x:c r="B96" s="8" t="s">
        <x:v>744</x:v>
      </x:c>
      <x:c r="C96" s="26"/>
      <x:c r="D96" s="26"/>
      <x:c r="E96" s="20" t="e">
        <x:f>-(Tabla26[[#This Row],[STOCK ACTUAL]]-Tabla26[[#This Row],[CONSUMO MENSUAL]]*1.15)</x:f>
        <x:v>#VALUE!</x:v>
      </x:c>
      <x:c r="F96" s="29"/>
      <x:c r="G96" s="11"/>
    </x:row>
    <x:row r="97" ht="15" customHeight="1">
      <x:c r="A97" s="8" t="s">
        <x:v>654</x:v>
      </x:c>
      <x:c r="B97" s="8" t="s">
        <x:v>745</x:v>
      </x:c>
      <x:c r="C97" s="26"/>
      <x:c r="D97" s="26"/>
      <x:c r="E97" s="20" t="e">
        <x:f>-(Tabla26[[#This Row],[STOCK ACTUAL]]-Tabla26[[#This Row],[CONSUMO MENSUAL]]*1.15)</x:f>
        <x:v>#VALUE!</x:v>
      </x:c>
      <x:c r="F97" s="29"/>
      <x:c r="G97" s="11"/>
    </x:row>
    <x:row r="98" ht="15" customHeight="1">
      <x:c r="A98" s="8" t="s">
        <x:v>654</x:v>
      </x:c>
      <x:c r="B98" s="8" t="s">
        <x:v>746</x:v>
      </x:c>
      <x:c r="C98" s="26"/>
      <x:c r="D98" s="26"/>
      <x:c r="E98" s="20" t="e">
        <x:f>-(Tabla26[[#This Row],[STOCK ACTUAL]]-Tabla26[[#This Row],[CONSUMO MENSUAL]]*1.15)</x:f>
        <x:v>#VALUE!</x:v>
      </x:c>
      <x:c r="F98" s="29"/>
      <x:c r="G98" s="11"/>
    </x:row>
    <x:row r="99" ht="15" customHeight="1">
      <x:c r="A99" s="8" t="s">
        <x:v>654</x:v>
      </x:c>
      <x:c r="B99" s="8" t="s">
        <x:v>747</x:v>
      </x:c>
      <x:c r="C99" s="26"/>
      <x:c r="D99" s="26"/>
      <x:c r="E99" s="20" t="e">
        <x:f>-(Tabla26[[#This Row],[STOCK ACTUAL]]-Tabla26[[#This Row],[CONSUMO MENSUAL]]*1.15)</x:f>
        <x:v>#VALUE!</x:v>
      </x:c>
      <x:c r="F99" s="29"/>
      <x:c r="G99" s="11"/>
    </x:row>
    <x:row r="100" ht="15" customHeight="1">
      <x:c r="A100" s="8" t="s">
        <x:v>654</x:v>
      </x:c>
      <x:c r="B100" s="8" t="s">
        <x:v>748</x:v>
      </x:c>
      <x:c r="C100" s="26"/>
      <x:c r="D100" s="26"/>
      <x:c r="E100" s="20" t="e">
        <x:f>-(Tabla26[[#This Row],[STOCK ACTUAL]]-Tabla26[[#This Row],[CONSUMO MENSUAL]]*1.15)</x:f>
        <x:v>#VALUE!</x:v>
      </x:c>
      <x:c r="F100" s="29"/>
      <x:c r="G100" s="11"/>
    </x:row>
    <x:row r="101" ht="15" customHeight="1">
      <x:c r="A101" s="8" t="s">
        <x:v>654</x:v>
      </x:c>
      <x:c r="B101" s="8" t="s">
        <x:v>749</x:v>
      </x:c>
      <x:c r="C101" s="26"/>
      <x:c r="D101" s="26"/>
      <x:c r="E101" s="20" t="e">
        <x:f>-(Tabla26[[#This Row],[STOCK ACTUAL]]-Tabla26[[#This Row],[CONSUMO MENSUAL]]*1.15)</x:f>
        <x:v>#VALUE!</x:v>
      </x:c>
      <x:c r="F101" s="29"/>
      <x:c r="G101" s="11"/>
    </x:row>
    <x:row r="102" ht="15" customHeight="1">
      <x:c r="A102" s="8" t="s">
        <x:v>654</x:v>
      </x:c>
      <x:c r="B102" s="8" t="s">
        <x:v>750</x:v>
      </x:c>
      <x:c r="C102" s="26"/>
      <x:c r="D102" s="26"/>
      <x:c r="E102" s="20" t="e">
        <x:f>-(Tabla26[[#This Row],[STOCK ACTUAL]]-Tabla26[[#This Row],[CONSUMO MENSUAL]]*1.15)</x:f>
        <x:v>#VALUE!</x:v>
      </x:c>
      <x:c r="F102" s="28"/>
      <x:c r="G102" s="11"/>
    </x:row>
    <x:row r="103" ht="15" customHeight="1">
      <x:c r="A103" s="8" t="s">
        <x:v>654</x:v>
      </x:c>
      <x:c r="B103" s="8" t="s">
        <x:v>751</x:v>
      </x:c>
      <x:c r="C103" s="26"/>
      <x:c r="D103" s="26"/>
      <x:c r="E103" s="20" t="e">
        <x:f>-(Tabla26[[#This Row],[STOCK ACTUAL]]-Tabla26[[#This Row],[CONSUMO MENSUAL]]*1.15)</x:f>
        <x:v>#VALUE!</x:v>
      </x:c>
      <x:c r="F103" s="28"/>
      <x:c r="G103" s="11"/>
    </x:row>
    <x:row r="104" ht="15" customHeight="1">
      <x:c r="A104" s="8" t="s">
        <x:v>654</x:v>
      </x:c>
      <x:c r="B104" s="8" t="s">
        <x:v>752</x:v>
      </x:c>
      <x:c r="C104" s="26"/>
      <x:c r="D104" s="26"/>
      <x:c r="E104" s="20" t="e">
        <x:f>-(Tabla26[[#This Row],[STOCK ACTUAL]]-Tabla26[[#This Row],[CONSUMO MENSUAL]]*1.15)</x:f>
        <x:v>#VALUE!</x:v>
      </x:c>
      <x:c r="F104" s="29"/>
      <x:c r="G104" s="11"/>
    </x:row>
    <x:row r="105" ht="15" customHeight="1">
      <x:c r="A105" s="8" t="s">
        <x:v>654</x:v>
      </x:c>
      <x:c r="B105" s="8" t="s">
        <x:v>753</x:v>
      </x:c>
      <x:c r="C105" s="26"/>
      <x:c r="D105" s="26"/>
      <x:c r="E105" s="20" t="e">
        <x:f>-(Tabla26[[#This Row],[STOCK ACTUAL]]-Tabla26[[#This Row],[CONSUMO MENSUAL]]*1.15)</x:f>
        <x:v>#VALUE!</x:v>
      </x:c>
      <x:c r="F105" s="28"/>
      <x:c r="G105" s="11"/>
    </x:row>
    <x:row r="106" ht="15" customHeight="1">
      <x:c r="A106" s="8" t="s">
        <x:v>654</x:v>
      </x:c>
      <x:c r="B106" s="8" t="s">
        <x:v>754</x:v>
      </x:c>
      <x:c r="C106" s="26"/>
      <x:c r="D106" s="26"/>
      <x:c r="E106" s="20" t="e">
        <x:f>-(Tabla26[[#This Row],[STOCK ACTUAL]]-Tabla26[[#This Row],[CONSUMO MENSUAL]]*1.15)</x:f>
        <x:v>#VALUE!</x:v>
      </x:c>
      <x:c r="F106" s="28"/>
      <x:c r="G106" s="11"/>
    </x:row>
    <x:row r="107" ht="15" customHeight="1">
      <x:c r="A107" s="17"/>
      <x:c r="B107" s="18"/>
      <x:c r="C107" s="26"/>
      <x:c r="D107" s="26"/>
      <x:c r="E107" s="20" t="e">
        <x:f>-(Tabla26[[#This Row],[STOCK ACTUAL]]-Tabla26[[#This Row],[CONSUMO MENSUAL]]*1.15)</x:f>
        <x:v>#VALUE!</x:v>
      </x:c>
      <x:c r="F107" s="27"/>
      <x:c r="G107" s="11"/>
    </x:row>
    <x:row r="108" ht="15" customHeight="1">
      <x:c r="A108" s="17"/>
      <x:c r="B108" s="18"/>
      <x:c r="C108" s="26"/>
      <x:c r="D108" s="26"/>
      <x:c r="E108" s="20" t="e">
        <x:f>-(Tabla26[[#This Row],[STOCK ACTUAL]]-Tabla26[[#This Row],[CONSUMO MENSUAL]]*1.15)</x:f>
        <x:v>#VALUE!</x:v>
      </x:c>
      <x:c r="F108" s="27"/>
      <x:c r="G108" s="11"/>
    </x:row>
    <x:row r="109" ht="15" customHeight="1">
      <x:c r="A109" s="17"/>
      <x:c r="B109" s="18"/>
      <x:c r="C109" s="26"/>
      <x:c r="D109" s="26"/>
      <x:c r="E109" s="20" t="e">
        <x:f>-(Tabla26[[#This Row],[STOCK ACTUAL]]-Tabla26[[#This Row],[CONSUMO MENSUAL]]*1.15)</x:f>
        <x:v>#VALUE!</x:v>
      </x:c>
      <x:c r="F109" s="27"/>
      <x:c r="G109" s="11"/>
    </x:row>
    <x:row r="110" ht="15" customHeight="1">
      <x:c r="A110" s="17"/>
      <x:c r="B110" s="18"/>
      <x:c r="C110" s="26"/>
      <x:c r="D110" s="26"/>
      <x:c r="E110" s="20" t="e">
        <x:f>-(Tabla26[[#This Row],[STOCK ACTUAL]]-Tabla26[[#This Row],[CONSUMO MENSUAL]]*1.15)</x:f>
        <x:v>#VALUE!</x:v>
      </x:c>
      <x:c r="F110" s="27"/>
      <x:c r="G110" s="11"/>
    </x:row>
    <x:row r="111" ht="15" customHeight="1">
      <x:c r="A111" s="17"/>
      <x:c r="B111" s="18"/>
      <x:c r="C111" s="26"/>
      <x:c r="D111" s="26"/>
      <x:c r="E111" s="20" t="e">
        <x:f>-(Tabla26[[#This Row],[STOCK ACTUAL]]-Tabla26[[#This Row],[CONSUMO MENSUAL]]*1.15)</x:f>
        <x:v>#VALUE!</x:v>
      </x:c>
      <x:c r="F111" s="27"/>
      <x:c r="G111" s="11"/>
    </x:row>
  </x:sheetData>
  <x:mergeCells>
    <x:mergeCell ref="A1:A4"/>
    <x:mergeCell ref="B2:D3"/>
    <x:mergeCell ref="F2:G2"/>
    <x:mergeCell ref="F3:G3"/>
  </x:mergeCells>
  <x:conditionalFormatting sqref="E6:E111">
    <x:cfRule type="cellIs" dxfId="2" priority="1" operator="lessThan">
      <x:formula>0</x:formula>
    </x:cfRule>
  </x:conditionalFormatting>
  <x:dataValidations count="3">
    <x:dataValidation type="list" allowBlank="1" showInputMessage="1" showErrorMessage="1" error="¡¡¡¡¡¡¡¡  HERRORRR   SOLO_x000a_ DATOS DE LA LISTA !!!!!!" prompt="¡¡.....  INGRESE _x000a_DATOS_x000a_DE LA LISTA ...!!" sqref="F2:G2">
      <x:formula1>$J$1:$J$11</x:formula1>
    </x:dataValidation>
    <x:dataValidation type="date" operator="greaterThanOrEqual" allowBlank="1" showInputMessage="1" showErrorMessage="1" error="Fecha mal _x000a_ingresada_x000a_(00-00-2024)" sqref="F3:G3">
      <x:formula1>45352</x:formula1>
    </x:dataValidation>
    <x:dataValidation type="whole" allowBlank="1" showInputMessage="1" showErrorMessage="1" error="¡¡¡¡¡¡....Ingresar_x000a_solo_x000a_ numeros...!!!!!!!" sqref="C6:D111 G6:G111 F107:F111">
      <x:formula1>0</x:formula1>
      <x:formula2>500000</x:formula2>
    </x:dataValidation>
  </x:dataValidations>
  <x:pageMargins left="0.7" right="0.7" top="0.75" bottom="0.75" header="0.3" footer="0.3"/>
  <x:drawing xmlns:r="http://schemas.openxmlformats.org/officeDocument/2006/relationships" r:id="R814fe96481b140b3"/>
  <x:tableParts count="1">
    <x:tablePart xmlns:r="http://schemas.openxmlformats.org/officeDocument/2006/relationships" r:id="R0558ffee20eb474e"/>
  </x:tableParts>
</x:worksheet>
</file>

<file path=xl/worksheets/sheet4.xml><?xml version="1.0" encoding="utf-8"?>
<x:worksheet xmlns:x="http://schemas.openxmlformats.org/spreadsheetml/2006/main">
  <x:sheetFormatPr baseColWidth="10" defaultColWidth="11.42578125" defaultRowHeight="15"/>
  <x:cols>
    <x:col min="1" max="1" width="14.7109375" style="2" customWidth="1"/>
    <x:col min="2" max="2" width="54" style="10" customWidth="1"/>
    <x:col min="3" max="3" width="17.28515625" style="2" customWidth="1"/>
    <x:col min="4" max="4" width="14.7109375" style="2" customWidth="1"/>
    <x:col min="5" max="5" width="18.7109375" style="2" customWidth="1"/>
    <x:col min="6" max="6" width="17" style="2" customWidth="1"/>
    <x:col min="7" max="7" width="22.140625" style="2" customWidth="1"/>
    <x:col min="8" max="9" width="11.42578125" style="2" customWidth="0"/>
    <x:col min="10" max="10" width="0" style="2" hidden="1" customWidth="1"/>
    <x:col min="11" max="16384" width="11.42578125" style="2" customWidth="0"/>
  </x:cols>
  <x:sheetData>
    <x:row r="1" ht="15" customHeight="1">
      <x:c r="A1" s="30"/>
      <x:c r="B1" s="1"/>
      <x:c r="J1" s="2" t="s">
        <x:v>0</x:v>
      </x:c>
    </x:row>
    <x:row r="2" ht="15" customHeight="1">
      <x:c r="A2" s="30"/>
      <x:c r="B2" s="31" t="s">
        <x:v>1</x:v>
      </x:c>
      <x:c r="C2" s="31"/>
      <x:c r="D2" s="31"/>
      <x:c r="E2" s="3" t="s">
        <x:v>2</x:v>
      </x:c>
      <x:c r="F2" s="32" t="s">
        <x:v>3</x:v>
      </x:c>
      <x:c r="G2" s="32"/>
      <x:c r="J2" s="2" t="s">
        <x:v>4</x:v>
      </x:c>
    </x:row>
    <x:row r="3" ht="15" customHeight="1">
      <x:c r="A3" s="30"/>
      <x:c r="B3" s="31"/>
      <x:c r="C3" s="31"/>
      <x:c r="D3" s="31"/>
      <x:c r="E3" s="3" t="s">
        <x:v>5</x:v>
      </x:c>
      <x:c r="F3" s="33"/>
      <x:c r="G3" s="33"/>
      <x:c r="J3" s="2" t="s">
        <x:v>3</x:v>
      </x:c>
    </x:row>
    <x:row r="4" ht="15" customHeight="1">
      <x:c r="A4" s="30"/>
      <x:c r="B4" s="1"/>
      <x:c r="J4" s="2" t="s">
        <x:v>6</x:v>
      </x:c>
    </x:row>
    <x:row r="5" ht="15" customHeight="1">
      <x:c r="A5" s="4" t="s">
        <x:v>7</x:v>
      </x:c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7" t="s">
        <x:v>13</x:v>
      </x:c>
      <x:c r="J5" s="2" t="s">
        <x:v>14</x:v>
      </x:c>
    </x:row>
    <x:row r="6" ht="15" customHeight="1">
      <x:c r="A6" s="8" t="s">
        <x:v>755</x:v>
      </x:c>
      <x:c r="B6" s="8" t="s">
        <x:v>756</x:v>
      </x:c>
      <x:c r="C6" s="26"/>
      <x:c r="D6" s="26"/>
      <x:c r="E6" s="20" t="e">
        <x:f>-(Tabla25[[#This Row],[STOCK ACTUAL]]-Tabla25[[#This Row],[CONSUMO MENSUAL]]*1.15)</x:f>
        <x:v>#VALUE!</x:v>
      </x:c>
      <x:c r="F6" s="27"/>
      <x:c r="G6" s="11"/>
      <x:c r="J6" s="2" t="s">
        <x:v>311</x:v>
      </x:c>
    </x:row>
    <x:row r="7" ht="15" customHeight="1">
      <x:c r="A7" s="8" t="s">
        <x:v>755</x:v>
      </x:c>
      <x:c r="B7" s="8" t="s">
        <x:v>757</x:v>
      </x:c>
      <x:c r="C7" s="26"/>
      <x:c r="D7" s="26"/>
      <x:c r="E7" s="20" t="e">
        <x:f>-(Tabla25[[#This Row],[STOCK ACTUAL]]-Tabla25[[#This Row],[CONSUMO MENSUAL]]*1.15)</x:f>
        <x:v>#VALUE!</x:v>
      </x:c>
      <x:c r="F7" s="27"/>
      <x:c r="G7" s="11"/>
      <x:c r="J7" s="2" t="s">
        <x:v>17</x:v>
      </x:c>
    </x:row>
    <x:row r="8" ht="15" customHeight="1">
      <x:c r="A8" s="8" t="s">
        <x:v>755</x:v>
      </x:c>
      <x:c r="B8" s="8" t="s">
        <x:v>758</x:v>
      </x:c>
      <x:c r="C8" s="26"/>
      <x:c r="D8" s="26"/>
      <x:c r="E8" s="20" t="e">
        <x:f>-(Tabla25[[#This Row],[STOCK ACTUAL]]-Tabla25[[#This Row],[CONSUMO MENSUAL]]*1.15)</x:f>
        <x:v>#VALUE!</x:v>
      </x:c>
      <x:c r="F8" s="27"/>
      <x:c r="G8" s="11"/>
      <x:c r="J8" s="2" t="s">
        <x:v>20</x:v>
      </x:c>
    </x:row>
    <x:row r="9" ht="15" customHeight="1">
      <x:c r="A9" s="8" t="s">
        <x:v>755</x:v>
      </x:c>
      <x:c r="B9" s="8" t="s">
        <x:v>759</x:v>
      </x:c>
      <x:c r="C9" s="26"/>
      <x:c r="D9" s="26"/>
      <x:c r="E9" s="20" t="e">
        <x:f>-(Tabla25[[#This Row],[STOCK ACTUAL]]-Tabla25[[#This Row],[CONSUMO MENSUAL]]*1.15)</x:f>
        <x:v>#VALUE!</x:v>
      </x:c>
      <x:c r="F9" s="27"/>
      <x:c r="G9" s="11"/>
      <x:c r="J9" s="2" t="s">
        <x:v>22</x:v>
      </x:c>
    </x:row>
    <x:row r="10" ht="15" customHeight="1">
      <x:c r="A10" s="8" t="s">
        <x:v>755</x:v>
      </x:c>
      <x:c r="B10" s="8" t="s">
        <x:v>760</x:v>
      </x:c>
      <x:c r="C10" s="26"/>
      <x:c r="D10" s="26"/>
      <x:c r="E10" s="20" t="e">
        <x:f>-(Tabla25[[#This Row],[STOCK ACTUAL]]-Tabla25[[#This Row],[CONSUMO MENSUAL]]*1.15)</x:f>
        <x:v>#VALUE!</x:v>
      </x:c>
      <x:c r="F10" s="27"/>
      <x:c r="G10" s="11"/>
      <x:c r="J10" s="2" t="s">
        <x:v>24</x:v>
      </x:c>
    </x:row>
    <x:row r="11" ht="15" customHeight="1">
      <x:c r="A11" s="8" t="s">
        <x:v>755</x:v>
      </x:c>
      <x:c r="B11" s="13" t="s">
        <x:v>761</x:v>
      </x:c>
      <x:c r="C11" s="26"/>
      <x:c r="D11" s="26"/>
      <x:c r="E11" s="20" t="e">
        <x:f>-(Tabla25[[#This Row],[STOCK ACTUAL]]-Tabla25[[#This Row],[CONSUMO MENSUAL]]*1.15)</x:f>
        <x:v>#VALUE!</x:v>
      </x:c>
      <x:c r="F11" s="27"/>
      <x:c r="G11" s="11"/>
      <x:c r="J11" s="2" t="s">
        <x:v>27</x:v>
      </x:c>
    </x:row>
    <x:row r="12" ht="15" customHeight="1">
      <x:c r="A12" s="8" t="s">
        <x:v>755</x:v>
      </x:c>
      <x:c r="B12" s="8" t="s">
        <x:v>762</x:v>
      </x:c>
      <x:c r="C12" s="26"/>
      <x:c r="D12" s="26"/>
      <x:c r="E12" s="20" t="e">
        <x:f>-(Tabla25[[#This Row],[STOCK ACTUAL]]-Tabla25[[#This Row],[CONSUMO MENSUAL]]*1.15)</x:f>
        <x:v>#VALUE!</x:v>
      </x:c>
      <x:c r="F12" s="27"/>
      <x:c r="G12" s="11"/>
      <x:c r="J12" s="2" t="s">
        <x:v>29</x:v>
      </x:c>
    </x:row>
    <x:row r="13" ht="15" customHeight="1">
      <x:c r="A13" s="8" t="s">
        <x:v>755</x:v>
      </x:c>
      <x:c r="B13" s="8" t="s">
        <x:v>763</x:v>
      </x:c>
      <x:c r="C13" s="26"/>
      <x:c r="D13" s="26"/>
      <x:c r="E13" s="20" t="e">
        <x:f>-(Tabla25[[#This Row],[STOCK ACTUAL]]-Tabla25[[#This Row],[CONSUMO MENSUAL]]*1.15)</x:f>
        <x:v>#VALUE!</x:v>
      </x:c>
      <x:c r="F13" s="27"/>
      <x:c r="G13" s="11"/>
    </x:row>
    <x:row r="14" ht="15" customHeight="1">
      <x:c r="A14" s="8" t="s">
        <x:v>755</x:v>
      </x:c>
      <x:c r="B14" s="8" t="s">
        <x:v>764</x:v>
      </x:c>
      <x:c r="C14" s="16"/>
      <x:c r="D14" s="16"/>
      <x:c r="E14" s="20" t="e">
        <x:f>-(Tabla25[[#This Row],[STOCK ACTUAL]]-Tabla25[[#This Row],[CONSUMO MENSUAL]]*1.15)</x:f>
        <x:v>#VALUE!</x:v>
      </x:c>
      <x:c r="F14" s="16"/>
      <x:c r="G14" s="15"/>
    </x:row>
    <x:row r="15" ht="15" customHeight="1">
      <x:c r="A15" s="8" t="s">
        <x:v>755</x:v>
      </x:c>
      <x:c r="B15" s="8" t="s">
        <x:v>765</x:v>
      </x:c>
      <x:c r="C15" s="16"/>
      <x:c r="D15" s="16"/>
      <x:c r="E15" s="20" t="e">
        <x:f>-(Tabla25[[#This Row],[STOCK ACTUAL]]-Tabla25[[#This Row],[CONSUMO MENSUAL]]*1.15)</x:f>
        <x:v>#VALUE!</x:v>
      </x:c>
      <x:c r="F15" s="16"/>
      <x:c r="G15" s="15"/>
    </x:row>
    <x:row r="16" ht="15" customHeight="1">
      <x:c r="A16" s="8" t="s">
        <x:v>755</x:v>
      </x:c>
      <x:c r="B16" s="8" t="s">
        <x:v>766</x:v>
      </x:c>
      <x:c r="C16" s="16"/>
      <x:c r="D16" s="16"/>
      <x:c r="E16" s="20" t="e">
        <x:f>-(Tabla25[[#This Row],[STOCK ACTUAL]]-Tabla25[[#This Row],[CONSUMO MENSUAL]]*1.15)</x:f>
        <x:v>#VALUE!</x:v>
      </x:c>
      <x:c r="F16" s="16"/>
      <x:c r="G16" s="15"/>
    </x:row>
    <x:row r="17" ht="15" customHeight="1">
      <x:c r="A17" s="8" t="s">
        <x:v>755</x:v>
      </x:c>
      <x:c r="B17" s="9" t="s">
        <x:v>767</x:v>
      </x:c>
      <x:c r="C17" s="16"/>
      <x:c r="D17" s="16"/>
      <x:c r="E17" s="20" t="e">
        <x:f>-(Tabla25[[#This Row],[STOCK ACTUAL]]-Tabla25[[#This Row],[CONSUMO MENSUAL]]*1.15)</x:f>
        <x:v>#VALUE!</x:v>
      </x:c>
      <x:c r="F17" s="16"/>
      <x:c r="G17" s="15"/>
    </x:row>
    <x:row r="18" ht="15" customHeight="1">
      <x:c r="A18" s="8" t="s">
        <x:v>755</x:v>
      </x:c>
      <x:c r="B18" s="9" t="s">
        <x:v>768</x:v>
      </x:c>
      <x:c r="C18" s="16"/>
      <x:c r="D18" s="16"/>
      <x:c r="E18" s="20" t="e">
        <x:f>-(Tabla25[[#This Row],[STOCK ACTUAL]]-Tabla25[[#This Row],[CONSUMO MENSUAL]]*1.15)</x:f>
        <x:v>#VALUE!</x:v>
      </x:c>
      <x:c r="F18" s="16"/>
      <x:c r="G18" s="15"/>
    </x:row>
    <x:row r="19" ht="15" customHeight="1">
      <x:c r="A19" s="8" t="s">
        <x:v>755</x:v>
      </x:c>
      <x:c r="B19" s="9" t="s">
        <x:v>769</x:v>
      </x:c>
      <x:c r="C19" s="16"/>
      <x:c r="D19" s="16"/>
      <x:c r="E19" s="20" t="e">
        <x:f>-(Tabla25[[#This Row],[STOCK ACTUAL]]-Tabla25[[#This Row],[CONSUMO MENSUAL]]*1.15)</x:f>
        <x:v>#VALUE!</x:v>
      </x:c>
      <x:c r="F19" s="16"/>
      <x:c r="G19" s="15"/>
    </x:row>
    <x:row r="20" ht="15" customHeight="1">
      <x:c r="A20" s="8" t="s">
        <x:v>755</x:v>
      </x:c>
      <x:c r="B20" s="8" t="s">
        <x:v>770</x:v>
      </x:c>
      <x:c r="C20" s="16"/>
      <x:c r="D20" s="16"/>
      <x:c r="E20" s="20" t="e">
        <x:f>-(Tabla25[[#This Row],[STOCK ACTUAL]]-Tabla25[[#This Row],[CONSUMO MENSUAL]]*1.15)</x:f>
        <x:v>#VALUE!</x:v>
      </x:c>
      <x:c r="F20" s="16"/>
      <x:c r="G20" s="15"/>
    </x:row>
    <x:row r="21" ht="15" customHeight="1">
      <x:c r="A21" s="17"/>
      <x:c r="B21" s="18"/>
      <x:c r="C21" s="16"/>
      <x:c r="D21" s="16"/>
      <x:c r="E21" s="20" t="e">
        <x:f>-(Tabla25[[#This Row],[STOCK ACTUAL]]-Tabla25[[#This Row],[CONSUMO MENSUAL]]*1.15)</x:f>
        <x:v>#VALUE!</x:v>
      </x:c>
      <x:c r="F21" s="16"/>
      <x:c r="G21" s="15"/>
    </x:row>
    <x:row r="22" ht="15" customHeight="1">
      <x:c r="A22" s="17"/>
      <x:c r="B22" s="18"/>
      <x:c r="C22" s="16"/>
      <x:c r="D22" s="16"/>
      <x:c r="E22" s="20" t="e">
        <x:f>-(Tabla25[[#This Row],[STOCK ACTUAL]]-Tabla25[[#This Row],[CONSUMO MENSUAL]]*1.15)</x:f>
        <x:v>#VALUE!</x:v>
      </x:c>
      <x:c r="F22" s="16"/>
      <x:c r="G22" s="15"/>
    </x:row>
    <x:row r="23" ht="15" customHeight="1">
      <x:c r="A23" s="17"/>
      <x:c r="B23" s="18"/>
      <x:c r="C23" s="16"/>
      <x:c r="D23" s="16"/>
      <x:c r="E23" s="20" t="e">
        <x:f>-(Tabla25[[#This Row],[STOCK ACTUAL]]-Tabla25[[#This Row],[CONSUMO MENSUAL]]*1.15)</x:f>
        <x:v>#VALUE!</x:v>
      </x:c>
      <x:c r="F23" s="16"/>
      <x:c r="G23" s="16"/>
    </x:row>
    <x:row r="24" ht="15" customHeight="1">
      <x:c r="A24" s="17"/>
      <x:c r="B24" s="18"/>
      <x:c r="C24" s="16"/>
      <x:c r="D24" s="16"/>
      <x:c r="E24" s="20" t="e">
        <x:f>-(Tabla25[[#This Row],[STOCK ACTUAL]]-Tabla25[[#This Row],[CONSUMO MENSUAL]]*1.15)</x:f>
        <x:v>#VALUE!</x:v>
      </x:c>
      <x:c r="F24" s="16"/>
      <x:c r="G24" s="16"/>
    </x:row>
    <x:row r="25" ht="15" customHeight="1">
      <x:c r="A25" s="17"/>
      <x:c r="B25" s="18"/>
      <x:c r="C25" s="23"/>
      <x:c r="D25" s="23"/>
      <x:c r="E25" s="24" t="e">
        <x:f>-(Tabla25[[#This Row],[STOCK ACTUAL]]-Tabla25[[#This Row],[CONSUMO MENSUAL]]*1.15)</x:f>
        <x:v>#VALUE!</x:v>
      </x:c>
      <x:c r="F25" s="23"/>
      <x:c r="G25" s="23"/>
    </x:row>
  </x:sheetData>
  <x:mergeCells>
    <x:mergeCell ref="A1:A4"/>
    <x:mergeCell ref="B2:D3"/>
    <x:mergeCell ref="F2:G2"/>
    <x:mergeCell ref="F3:G3"/>
  </x:mergeCells>
  <x:conditionalFormatting sqref="E6:E25">
    <x:cfRule type="cellIs" dxfId="1" priority="1" operator="lessThan">
      <x:formula>0</x:formula>
    </x:cfRule>
  </x:conditionalFormatting>
  <x:dataValidations count="3">
    <x:dataValidation type="list" allowBlank="1" showInputMessage="1" showErrorMessage="1" error="¡¡¡¡¡¡¡¡  HERRORRR   SOLO_x000a_ DATOS DE LA LISTA !!!!!!" prompt="¡¡.....  INGRESE _x000a_DATOS_x000a_DE LA LISTA ...!!" sqref="F2:G2">
      <x:formula1>$J$1:$J$12</x:formula1>
    </x:dataValidation>
    <x:dataValidation type="date" operator="greaterThanOrEqual" allowBlank="1" showInputMessage="1" showErrorMessage="1" error="Fecha mal _x000a_ingresada_x000a_(00-00-2024)" sqref="F3:G3">
      <x:formula1>45352</x:formula1>
    </x:dataValidation>
    <x:dataValidation type="whole" allowBlank="1" showInputMessage="1" showErrorMessage="1" error="¡¡¡¡¡¡....Ingresar_x000a_solo_x000a_ numeros...!!!!!!!" sqref="C6:D13 F6:G13">
      <x:formula1>0</x:formula1>
      <x:formula2>500000</x:formula2>
    </x:dataValidation>
  </x:dataValidations>
  <x:pageMargins left="0.7" right="0.7" top="0.75" bottom="0.75" header="0.3" footer="0.3"/>
  <x:drawing xmlns:r="http://schemas.openxmlformats.org/officeDocument/2006/relationships" r:id="R154c8e3b92db4027"/>
  <x:tableParts count="1">
    <x:tablePart xmlns:r="http://schemas.openxmlformats.org/officeDocument/2006/relationships" r:id="Rffe41400dbd24ee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11.42578125" defaultRowHeight="15"/>
  <x:cols>
    <x:col min="1" max="1" width="14.7109375" style="2" customWidth="1"/>
    <x:col min="2" max="2" width="54" style="10" customWidth="1"/>
    <x:col min="3" max="3" width="17.28515625" style="2" customWidth="1"/>
    <x:col min="4" max="4" width="14.7109375" style="2" customWidth="1"/>
    <x:col min="5" max="5" width="18.7109375" style="2" customWidth="1"/>
    <x:col min="6" max="6" width="17" style="2" customWidth="1"/>
    <x:col min="7" max="7" width="22.140625" style="2" customWidth="1"/>
    <x:col min="8" max="9" width="11.42578125" style="2" customWidth="0"/>
    <x:col min="10" max="10" width="11.42578125" style="2" hidden="1" customWidth="1"/>
    <x:col min="11" max="16384" width="11.42578125" style="2" customWidth="0"/>
  </x:cols>
  <x:sheetData>
    <x:row r="1" ht="15" customHeight="1">
      <x:c r="A1" s="30"/>
      <x:c r="B1" s="1"/>
      <x:c r="J1" s="2" t="s">
        <x:v>0</x:v>
      </x:c>
    </x:row>
    <x:row r="2" ht="15" customHeight="1">
      <x:c r="A2" s="30"/>
      <x:c r="B2" s="31" t="s">
        <x:v>1</x:v>
      </x:c>
      <x:c r="C2" s="31"/>
      <x:c r="D2" s="31"/>
      <x:c r="E2" s="3" t="s">
        <x:v>2</x:v>
      </x:c>
      <x:c r="F2" s="32" t="s">
        <x:v>3</x:v>
      </x:c>
      <x:c r="G2" s="32"/>
      <x:c r="J2" s="2" t="s">
        <x:v>4</x:v>
      </x:c>
    </x:row>
    <x:row r="3" ht="15" customHeight="1">
      <x:c r="A3" s="30"/>
      <x:c r="B3" s="31"/>
      <x:c r="C3" s="31"/>
      <x:c r="D3" s="31"/>
      <x:c r="E3" s="3" t="s">
        <x:v>5</x:v>
      </x:c>
      <x:c r="F3" s="33"/>
      <x:c r="G3" s="33"/>
      <x:c r="J3" s="2" t="s">
        <x:v>3</x:v>
      </x:c>
    </x:row>
    <x:row r="4" ht="15" customHeight="1">
      <x:c r="A4" s="30"/>
      <x:c r="B4" s="1"/>
      <x:c r="J4" s="2" t="s">
        <x:v>6</x:v>
      </x:c>
    </x:row>
    <x:row r="5" ht="15" customHeight="1">
      <x:c r="A5" s="4" t="s">
        <x:v>7</x:v>
      </x:c>
      <x:c r="B5" s="5" t="s">
        <x:v>8</x:v>
      </x:c>
      <x:c r="C5" s="6" t="s">
        <x:v>9</x:v>
      </x:c>
      <x:c r="D5" s="6" t="s">
        <x:v>10</x:v>
      </x:c>
      <x:c r="E5" s="6" t="s">
        <x:v>11</x:v>
      </x:c>
      <x:c r="F5" s="6" t="s">
        <x:v>12</x:v>
      </x:c>
      <x:c r="G5" s="7" t="s">
        <x:v>13</x:v>
      </x:c>
      <x:c r="J5" s="2" t="s">
        <x:v>14</x:v>
      </x:c>
    </x:row>
    <x:row r="6" ht="33.75" customHeight="1">
      <x:c r="A6" s="8" t="s">
        <x:v>471</x:v>
      </x:c>
      <x:c r="B6" s="25" t="s">
        <x:v>771</x:v>
      </x:c>
      <x:c r="C6" s="26"/>
      <x:c r="D6" s="26"/>
      <x:c r="E6" s="20" t="n">
        <x:f>MAX(0,C6*1.15-D6)</x:f>
        <x:v>0</x:v>
      </x:c>
      <x:c r="F6" s="27"/>
      <x:c r="G6" s="11"/>
      <x:c r="J6" s="2" t="s">
        <x:v>17</x:v>
      </x:c>
    </x:row>
    <x:row r="7" ht="33.75" customHeight="1">
      <x:c r="A7" s="8" t="s">
        <x:v>471</x:v>
      </x:c>
      <x:c r="B7" s="25" t="s">
        <x:v>772</x:v>
      </x:c>
      <x:c r="C7" s="26"/>
      <x:c r="D7" s="26"/>
      <x:c r="E7" s="20" t="n">
        <x:f>MAX(0,C7*1.15-D7)</x:f>
        <x:v>0</x:v>
      </x:c>
      <x:c r="F7" s="27"/>
      <x:c r="G7" s="11"/>
      <x:c r="J7" s="2" t="s">
        <x:v>20</x:v>
      </x:c>
    </x:row>
    <x:row r="8" ht="26.25" customHeight="1">
      <x:c r="A8" s="8" t="s">
        <x:v>471</x:v>
      </x:c>
      <x:c r="B8" s="25" t="s">
        <x:v>773</x:v>
      </x:c>
      <x:c r="C8" s="19"/>
      <x:c r="D8" s="19"/>
      <x:c r="E8" s="20" t="n">
        <x:f>MAX(0,C8*1.15-D8)</x:f>
        <x:v>0</x:v>
      </x:c>
      <x:c r="F8" s="12"/>
      <x:c r="G8" s="11"/>
      <x:c r="J8" s="2" t="s">
        <x:v>22</x:v>
      </x:c>
    </x:row>
    <x:row r="9" ht="26.25" customHeight="1">
      <x:c r="A9" s="8" t="s">
        <x:v>471</x:v>
      </x:c>
      <x:c r="B9" s="25" t="s">
        <x:v>774</x:v>
      </x:c>
      <x:c r="C9" s="19"/>
      <x:c r="D9" s="19"/>
      <x:c r="E9" s="20" t="n">
        <x:f>MAX(0,C9*1.15-D9)</x:f>
        <x:v>0</x:v>
      </x:c>
      <x:c r="F9" s="12"/>
      <x:c r="G9" s="11"/>
      <x:c r="J9" s="2" t="s">
        <x:v>24</x:v>
      </x:c>
    </x:row>
    <x:row r="10" ht="26.25" customHeight="1">
      <x:c r="A10" s="8" t="s">
        <x:v>471</x:v>
      </x:c>
      <x:c r="B10" s="25" t="s">
        <x:v>775</x:v>
      </x:c>
      <x:c r="C10" s="19"/>
      <x:c r="D10" s="19"/>
      <x:c r="E10" s="20" t="n">
        <x:f>MAX(0,C10*1.15-D10)</x:f>
        <x:v>0</x:v>
      </x:c>
      <x:c r="F10" s="12"/>
      <x:c r="G10" s="11"/>
      <x:c r="J10" s="2" t="s">
        <x:v>27</x:v>
      </x:c>
    </x:row>
    <x:row r="11" ht="26.25" customHeight="1">
      <x:c r="A11" s="8" t="s">
        <x:v>471</x:v>
      </x:c>
      <x:c r="B11" s="25" t="s">
        <x:v>776</x:v>
      </x:c>
      <x:c r="C11" s="19"/>
      <x:c r="D11" s="19"/>
      <x:c r="E11" s="20" t="n">
        <x:f>MAX(0,C11*1.15-D11)</x:f>
        <x:v>0</x:v>
      </x:c>
      <x:c r="F11" s="12"/>
      <x:c r="G11" s="11"/>
      <x:c r="J11" s="2" t="s">
        <x:v>29</x:v>
      </x:c>
    </x:row>
    <x:row r="12" ht="33.75" customHeight="1">
      <x:c r="A12" s="8" t="s">
        <x:v>471</x:v>
      </x:c>
      <x:c r="B12" s="25" t="s">
        <x:v>777</x:v>
      </x:c>
      <x:c r="C12" s="19"/>
      <x:c r="D12" s="19"/>
      <x:c r="E12" s="20" t="n">
        <x:f>MAX(0,C12*1.15-D12)</x:f>
        <x:v>0</x:v>
      </x:c>
      <x:c r="F12" s="12"/>
      <x:c r="G12" s="11"/>
    </x:row>
    <x:row r="13" ht="23.25" customHeight="1">
      <x:c r="A13" s="8" t="s">
        <x:v>471</x:v>
      </x:c>
      <x:c r="B13" s="25" t="s">
        <x:v>778</x:v>
      </x:c>
      <x:c r="C13" s="19"/>
      <x:c r="D13" s="19"/>
      <x:c r="E13" s="20" t="n">
        <x:f>MAX(0,C13*1.15-D13)</x:f>
        <x:v>0</x:v>
      </x:c>
      <x:c r="F13" s="12"/>
      <x:c r="G13" s="11"/>
    </x:row>
    <x:row r="14" ht="33.75" customHeight="1">
      <x:c r="A14" s="8" t="s">
        <x:v>471</x:v>
      </x:c>
      <x:c r="B14" s="25" t="s">
        <x:v>779</x:v>
      </x:c>
      <x:c r="C14" s="19"/>
      <x:c r="D14" s="19"/>
      <x:c r="E14" s="20" t="n">
        <x:f>MAX(0,C14*1.15-D14)</x:f>
        <x:v>0</x:v>
      </x:c>
      <x:c r="F14" s="12"/>
      <x:c r="G14" s="11"/>
    </x:row>
    <x:row r="15" ht="33.75" customHeight="1">
      <x:c r="A15" s="8" t="s">
        <x:v>471</x:v>
      </x:c>
      <x:c r="B15" s="25" t="s">
        <x:v>780</x:v>
      </x:c>
      <x:c r="C15" s="19"/>
      <x:c r="D15" s="19"/>
      <x:c r="E15" s="20" t="n">
        <x:f>MAX(0,C15*1.15-D15)</x:f>
        <x:v>0</x:v>
      </x:c>
      <x:c r="F15" s="12"/>
      <x:c r="G15" s="11"/>
    </x:row>
    <x:row r="16" ht="33.75" customHeight="1">
      <x:c r="A16" s="8" t="s">
        <x:v>471</x:v>
      </x:c>
      <x:c r="B16" s="25" t="s">
        <x:v>781</x:v>
      </x:c>
      <x:c r="C16" s="19"/>
      <x:c r="D16" s="19"/>
      <x:c r="E16" s="20" t="n">
        <x:f>MAX(0,C16*1.15-D16)</x:f>
        <x:v>0</x:v>
      </x:c>
      <x:c r="F16" s="12"/>
      <x:c r="G16" s="11"/>
    </x:row>
    <x:row r="17" ht="33.75" customHeight="1">
      <x:c r="A17" s="8" t="s">
        <x:v>471</x:v>
      </x:c>
      <x:c r="B17" s="25" t="s">
        <x:v>782</x:v>
      </x:c>
      <x:c r="C17" s="19"/>
      <x:c r="D17" s="19"/>
      <x:c r="E17" s="20" t="n">
        <x:f>MAX(0,C17*1.15-D17)</x:f>
        <x:v>0</x:v>
      </x:c>
      <x:c r="F17" s="12"/>
      <x:c r="G17" s="11"/>
    </x:row>
    <x:row r="18" ht="33.75" customHeight="1">
      <x:c r="A18" s="8" t="s">
        <x:v>471</x:v>
      </x:c>
      <x:c r="B18" s="25" t="s">
        <x:v>783</x:v>
      </x:c>
      <x:c r="C18" s="19"/>
      <x:c r="D18" s="19"/>
      <x:c r="E18" s="20" t="n">
        <x:f>MAX(0,C18*1.15-D18)</x:f>
        <x:v>0</x:v>
      </x:c>
      <x:c r="F18" s="12"/>
      <x:c r="G18" s="11"/>
    </x:row>
    <x:row r="19" ht="33.75" customHeight="1">
      <x:c r="A19" s="8" t="s">
        <x:v>471</x:v>
      </x:c>
      <x:c r="B19" s="25" t="s">
        <x:v>784</x:v>
      </x:c>
      <x:c r="C19" s="19"/>
      <x:c r="D19" s="19"/>
      <x:c r="E19" s="20" t="n">
        <x:f>MAX(0,C19*1.15-D19)</x:f>
        <x:v>0</x:v>
      </x:c>
      <x:c r="F19" s="12"/>
      <x:c r="G19" s="11"/>
    </x:row>
    <x:row r="20" ht="33.75" customHeight="1">
      <x:c r="A20" s="8" t="s">
        <x:v>471</x:v>
      </x:c>
      <x:c r="B20" s="25" t="s">
        <x:v>785</x:v>
      </x:c>
      <x:c r="C20" s="19"/>
      <x:c r="D20" s="19"/>
      <x:c r="E20" s="20" t="n">
        <x:f>MAX(0,C20*1.15-D20)</x:f>
        <x:v>0</x:v>
      </x:c>
      <x:c r="F20" s="12"/>
      <x:c r="G20" s="11"/>
    </x:row>
    <x:row r="21" ht="33.75" customHeight="1">
      <x:c r="A21" s="8" t="s">
        <x:v>471</x:v>
      </x:c>
      <x:c r="B21" s="25" t="s">
        <x:v>786</x:v>
      </x:c>
      <x:c r="C21" s="19"/>
      <x:c r="D21" s="19"/>
      <x:c r="E21" s="20" t="n">
        <x:f>MAX(0,C21*1.15-D21)</x:f>
        <x:v>0</x:v>
      </x:c>
      <x:c r="F21" s="12"/>
      <x:c r="G21" s="11"/>
    </x:row>
    <x:row r="22" ht="33.75" customHeight="1">
      <x:c r="A22" s="8" t="s">
        <x:v>471</x:v>
      </x:c>
      <x:c r="B22" s="25" t="s">
        <x:v>787</x:v>
      </x:c>
      <x:c r="C22" s="19"/>
      <x:c r="D22" s="19"/>
      <x:c r="E22" s="20" t="n">
        <x:f>MAX(0,C22*1.15-D22)</x:f>
        <x:v>0</x:v>
      </x:c>
      <x:c r="F22" s="12"/>
      <x:c r="G22" s="11"/>
    </x:row>
    <x:row r="23" ht="27.75" customHeight="1">
      <x:c r="A23" s="8" t="s">
        <x:v>471</x:v>
      </x:c>
      <x:c r="B23" s="25" t="s">
        <x:v>788</x:v>
      </x:c>
      <x:c r="C23" s="19"/>
      <x:c r="D23" s="19"/>
      <x:c r="E23" s="20" t="n">
        <x:f>MAX(0,C23*1.15-D23)</x:f>
        <x:v>0</x:v>
      </x:c>
      <x:c r="F23" s="12"/>
      <x:c r="G23" s="11"/>
    </x:row>
    <x:row r="24" ht="33.75" customHeight="1">
      <x:c r="A24" s="8" t="s">
        <x:v>471</x:v>
      </x:c>
      <x:c r="B24" s="25" t="s">
        <x:v>789</x:v>
      </x:c>
      <x:c r="C24" s="19"/>
      <x:c r="D24" s="19"/>
      <x:c r="E24" s="20" t="n">
        <x:f>MAX(0,C24*1.15-D24)</x:f>
        <x:v>0</x:v>
      </x:c>
      <x:c r="F24" s="12"/>
      <x:c r="G24" s="11"/>
    </x:row>
    <x:row r="25" ht="26.25" customHeight="1">
      <x:c r="A25" s="8" t="s">
        <x:v>471</x:v>
      </x:c>
      <x:c r="B25" s="25" t="s">
        <x:v>790</x:v>
      </x:c>
      <x:c r="C25" s="19"/>
      <x:c r="D25" s="19"/>
      <x:c r="E25" s="20" t="n">
        <x:f>MAX(0,C25*1.15-D25)</x:f>
        <x:v>0</x:v>
      </x:c>
      <x:c r="F25" s="12"/>
      <x:c r="G25" s="11"/>
    </x:row>
    <x:row r="26" ht="26.25" customHeight="1">
      <x:c r="A26" s="8" t="s">
        <x:v>471</x:v>
      </x:c>
      <x:c r="B26" s="25" t="s">
        <x:v>791</x:v>
      </x:c>
      <x:c r="C26" s="19"/>
      <x:c r="D26" s="19"/>
      <x:c r="E26" s="20" t="n">
        <x:f>MAX(0,C26*1.15-D26)</x:f>
        <x:v>0</x:v>
      </x:c>
      <x:c r="F26" s="12"/>
      <x:c r="G26" s="11"/>
    </x:row>
    <x:row r="27" ht="26.25" customHeight="1">
      <x:c r="A27" s="8" t="s">
        <x:v>471</x:v>
      </x:c>
      <x:c r="B27" s="25" t="s">
        <x:v>792</x:v>
      </x:c>
      <x:c r="C27" s="19"/>
      <x:c r="D27" s="19"/>
      <x:c r="E27" s="20" t="n">
        <x:f>MAX(0,C27*1.15-D27)</x:f>
        <x:v>0</x:v>
      </x:c>
      <x:c r="F27" s="12"/>
      <x:c r="G27" s="11"/>
    </x:row>
    <x:row r="28" ht="26.25" customHeight="1">
      <x:c r="A28" s="8" t="s">
        <x:v>471</x:v>
      </x:c>
      <x:c r="B28" s="25" t="s">
        <x:v>793</x:v>
      </x:c>
      <x:c r="C28" s="19"/>
      <x:c r="D28" s="19"/>
      <x:c r="E28" s="20" t="n">
        <x:f>MAX(0,C28*1.15-D28)</x:f>
        <x:v>0</x:v>
      </x:c>
      <x:c r="F28" s="12"/>
      <x:c r="G28" s="11"/>
    </x:row>
    <x:row r="29" ht="26.25" customHeight="1">
      <x:c r="A29" s="8" t="s">
        <x:v>471</x:v>
      </x:c>
      <x:c r="B29" s="25" t="s">
        <x:v>794</x:v>
      </x:c>
      <x:c r="C29" s="19"/>
      <x:c r="D29" s="19"/>
      <x:c r="E29" s="20" t="n">
        <x:f>MAX(0,C29*1.15-D29)</x:f>
        <x:v>0</x:v>
      </x:c>
      <x:c r="F29" s="12"/>
      <x:c r="G29" s="11"/>
    </x:row>
    <x:row r="30" ht="15" customHeight="1">
      <x:c r="A30" s="17"/>
      <x:c r="B30" s="18"/>
      <x:c r="C30" s="19"/>
      <x:c r="D30" s="19"/>
      <x:c r="E30" s="20" t="n">
        <x:f>MAX(0,C30*1.15-D30)</x:f>
        <x:v>0</x:v>
      </x:c>
      <x:c r="F30" s="12"/>
      <x:c r="G30" s="11"/>
    </x:row>
    <x:row r="31" ht="15" customHeight="1">
      <x:c r="A31" s="17"/>
      <x:c r="B31" s="18"/>
      <x:c r="C31" s="19"/>
      <x:c r="D31" s="19"/>
      <x:c r="E31" s="20" t="n">
        <x:f>MAX(0,C31*1.15-D31)</x:f>
        <x:v>0</x:v>
      </x:c>
      <x:c r="F31" s="12"/>
      <x:c r="G31" s="11"/>
    </x:row>
    <x:row r="32" ht="15" customHeight="1">
      <x:c r="A32" s="17"/>
      <x:c r="B32" s="18"/>
      <x:c r="C32" s="19"/>
      <x:c r="D32" s="19"/>
      <x:c r="E32" s="20" t="n">
        <x:f>MAX(0,C32*1.15-D32)</x:f>
        <x:v>0</x:v>
      </x:c>
      <x:c r="F32" s="12"/>
      <x:c r="G32" s="11"/>
    </x:row>
    <x:row r="33" ht="15" customHeight="1">
      <x:c r="A33" s="17"/>
      <x:c r="B33" s="18"/>
      <x:c r="C33" s="19"/>
      <x:c r="D33" s="19"/>
      <x:c r="E33" s="20" t="n">
        <x:f>MAX(0,C33*1.15-D33)</x:f>
        <x:v>0</x:v>
      </x:c>
      <x:c r="F33" s="12"/>
      <x:c r="G33" s="11"/>
    </x:row>
    <x:row r="34" ht="15" customHeight="1">
      <x:c r="A34" s="17"/>
      <x:c r="B34" s="18"/>
      <x:c r="C34" s="19"/>
      <x:c r="D34" s="19"/>
      <x:c r="E34" s="20" t="n">
        <x:f>MAX(0,C34*1.15-D34)</x:f>
        <x:v>0</x:v>
      </x:c>
      <x:c r="F34" s="12"/>
      <x:c r="G34" s="11"/>
    </x:row>
  </x:sheetData>
  <x:mergeCells>
    <x:mergeCell ref="A1:A4"/>
    <x:mergeCell ref="B2:D3"/>
    <x:mergeCell ref="F2:G2"/>
    <x:mergeCell ref="F3:G3"/>
  </x:mergeCells>
  <x:conditionalFormatting sqref="E6:E34">
    <x:cfRule type="cellIs" dxfId="0" priority="1" operator="lessThan">
      <x:formula>0</x:formula>
    </x:cfRule>
  </x:conditionalFormatting>
  <x:dataValidations count="3">
    <x:dataValidation type="date" operator="greaterThanOrEqual" allowBlank="1" showInputMessage="1" showErrorMessage="1" error="Fecha mal _x000a_ingresada_x000a_(00-00-2024)" sqref="F3:G3">
      <x:formula1>45352</x:formula1>
    </x:dataValidation>
    <x:dataValidation type="whole" allowBlank="1" showInputMessage="1" showErrorMessage="1" error="¡¡¡¡¡¡....Ingresar_x000a_solo_x000a_ numeros...!!!!!!!" sqref="C6:D34 F6:G34">
      <x:formula1>0</x:formula1>
      <x:formula2>500000</x:formula2>
    </x:dataValidation>
    <x:dataValidation type="list" allowBlank="1" showInputMessage="1" showErrorMessage="1" error="¡¡¡¡¡¡¡¡  HERRORRR   SOLO_x000a_ DATOS DE LA LISTA !!!!!!" prompt="¡¡.....  INGRESE _x000a_DATOS_x000a_DE LA LISTA ...!!" sqref="F2:G2">
      <x:formula1>$J$1:$J$11</x:formula1>
    </x:dataValidation>
  </x:dataValidations>
  <x:pageMargins left="0.7" right="0.7" top="0.75" bottom="0.75" header="0.3" footer="0.3"/>
  <x:drawing xmlns:r="http://schemas.openxmlformats.org/officeDocument/2006/relationships" r:id="R3d4947c603cc44e5"/>
  <x:tableParts count="1">
    <x:tablePart xmlns:r="http://schemas.openxmlformats.org/officeDocument/2006/relationships" r:id="Red434c55d17c4e72"/>
  </x:tableParts>
</x:worksheet>
</file>